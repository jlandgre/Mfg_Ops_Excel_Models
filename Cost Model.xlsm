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Box Sync\Projects\Mfg_Ops_Excel_Models\"/>
    </mc:Choice>
  </mc:AlternateContent>
  <xr:revisionPtr revIDLastSave="0" documentId="13_ncr:1_{A0CEA77E-C1AB-4AE8-836C-F62A66C0EEC4}" xr6:coauthVersionLast="47" xr6:coauthVersionMax="47" xr10:uidLastSave="{00000000-0000-0000-0000-000000000000}"/>
  <bookViews>
    <workbookView xWindow="2618" yWindow="1988" windowWidth="29887" windowHeight="14092" tabRatio="793" xr2:uid="{9DD4A102-5F6B-46DA-8541-48C3A19AE79F}"/>
  </bookViews>
  <sheets>
    <sheet name="Model" sheetId="365" r:id="rId1"/>
    <sheet name="mixes" sheetId="189" r:id="rId2"/>
    <sheet name="finan" sheetId="364" r:id="rId3"/>
    <sheet name="oper" sheetId="414" r:id="rId4"/>
    <sheet name="ingred" sheetId="275" r:id="rId5"/>
    <sheet name="Notes" sheetId="221" state="hidden" r:id="rId6"/>
    <sheet name="Units" sheetId="367" r:id="rId7"/>
    <sheet name="ExcelSteps" sheetId="4" r:id="rId8"/>
    <sheet name="Lists" sheetId="2" state="hidden" r:id="rId9"/>
    <sheet name="XLStepsSettings" sheetId="393" state="hidden" r:id="rId10"/>
  </sheets>
  <functionGroups builtInGroupCount="19"/>
  <definedNames>
    <definedName name="BasisWt_product">Model!$34:$34</definedName>
    <definedName name="Batch_Process">Model!$I:$I</definedName>
    <definedName name="batches.year.line">Model!$22:$22</definedName>
    <definedName name="Continuous_Process">Model!$J:$J</definedName>
    <definedName name="cost_crew.hr_prodn">Model!$40:$40</definedName>
    <definedName name="days.yr">Units!$I$8</definedName>
    <definedName name="frac_availability">Model!$10:$10</definedName>
    <definedName name="frac_prodn_scheduled">Model!$9:$9</definedName>
    <definedName name="frac_scrap">Model!$11:$11</definedName>
    <definedName name="g.kg">Units!$I$11</definedName>
    <definedName name="hrs.day_available">Model!$13:$13</definedName>
    <definedName name="hrs.day_line">Model!$8:$8</definedName>
    <definedName name="hrs.year_available">Model!$14:$14</definedName>
    <definedName name="IsBatch">Model!$19:$19</definedName>
    <definedName name="IsContinuous">Model!$26:$26</definedName>
    <definedName name="IsWeb">Model!$30:$30</definedName>
    <definedName name="kg.lb">Units!$I$12</definedName>
    <definedName name="kg.min_continuous">Model!$27:$27</definedName>
    <definedName name="kg.min_web">Model!$36:$36</definedName>
    <definedName name="kg.yr.line">Model!$6:$6</definedName>
    <definedName name="kg.yr_business">Model!$4:$4</definedName>
    <definedName name="Lines_Required">Model!$5:$5</definedName>
    <definedName name="list_process_types">Lists!$A$2:$A$5</definedName>
    <definedName name="min.hr">Units!$I$6</definedName>
    <definedName name="mm.in">Units!$I$15</definedName>
    <definedName name="mm.m">Units!$I$14</definedName>
    <definedName name="n_lanes">Model!$33:$33</definedName>
    <definedName name="name_oper">Model!$39:$39</definedName>
    <definedName name="oper">oper!$A:$O</definedName>
    <definedName name="oper_cost.hr_oper_clocked_in">oper!$H:$H</definedName>
    <definedName name="oper_cost.hr_prodn.operator">oper!$G:$G</definedName>
    <definedName name="oper_cost_lab.hr_prodn">oper!$F:$F</definedName>
    <definedName name="oper_cost_lab_tech.yr">oper!$O:$O</definedName>
    <definedName name="oper_cost_operator.yr">oper!$L:$L</definedName>
    <definedName name="oper_cost_opers.hr_prodn">oper!$C:$C</definedName>
    <definedName name="oper_cost_spv.hr_prodn">oper!$D:$D</definedName>
    <definedName name="oper_cost_spv.yr">oper!$N:$N</definedName>
    <definedName name="oper_Header">oper!$1:$1</definedName>
    <definedName name="oper_n_labtech">oper!$E:$E</definedName>
    <definedName name="oper_n_operators">oper!$B:$B</definedName>
    <definedName name="oper_Name">oper!$A:$A</definedName>
    <definedName name="oper_oper_d.yr">oper!$J:$J</definedName>
    <definedName name="oper_oper_hr.day">oper!$K:$K</definedName>
    <definedName name="oper_oper_linehrs.hr_clocked_in">oper!$I:$I</definedName>
    <definedName name="oper_operator_spv_ratio">oper!$M:$M</definedName>
    <definedName name="process_type">Model!$16:$16</definedName>
    <definedName name="s.hr">Units!$I$7</definedName>
    <definedName name="s.min">Units!$I$5</definedName>
    <definedName name="Scenario">Units!$I$2</definedName>
    <definedName name="speed_web">Model!$35:$35</definedName>
    <definedName name="Time_batch">Model!$20:$20</definedName>
    <definedName name="Units">Units!$I:$I</definedName>
    <definedName name="WebProcess">Model!$K:$K</definedName>
    <definedName name="width_process">Model!$31:$31</definedName>
    <definedName name="width_product">Model!$32:$32</definedName>
    <definedName name="Wt_batch">Model!$21:$21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14" l="1"/>
  <c r="H3" i="414"/>
  <c r="F2" i="414"/>
  <c r="F3" i="414"/>
  <c r="D2" i="414"/>
  <c r="D3" i="414"/>
  <c r="J40" i="365"/>
  <c r="K40" i="365"/>
  <c r="I33" i="365"/>
  <c r="I30" i="365"/>
  <c r="I36" i="365" s="1"/>
  <c r="J30" i="365"/>
  <c r="J33" i="365" s="1"/>
  <c r="K30" i="365"/>
  <c r="K33" i="365" s="1"/>
  <c r="I26" i="365"/>
  <c r="J26" i="365"/>
  <c r="K26" i="365"/>
  <c r="J22" i="365"/>
  <c r="I19" i="365"/>
  <c r="J19" i="365"/>
  <c r="K19" i="365"/>
  <c r="K22" i="365" s="1"/>
  <c r="J14" i="365"/>
  <c r="J6" i="365" s="1"/>
  <c r="I13" i="365"/>
  <c r="I14" i="365" s="1"/>
  <c r="J13" i="365"/>
  <c r="K13" i="365"/>
  <c r="K14" i="365" s="1"/>
  <c r="K4" i="365"/>
  <c r="J4" i="365"/>
  <c r="G3" i="414" l="1"/>
  <c r="C3" i="414" s="1"/>
  <c r="G2" i="414"/>
  <c r="C2" i="414" s="1"/>
  <c r="I40" i="365" s="1"/>
  <c r="J5" i="365"/>
  <c r="I22" i="365"/>
  <c r="I6" i="365" s="1"/>
  <c r="I5" i="365" s="1"/>
  <c r="K36" i="365"/>
  <c r="K6" i="365" s="1"/>
  <c r="K5" i="365" s="1"/>
  <c r="J36" i="3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j.d.landgrebe</author>
  </authors>
  <commentList>
    <comment ref="B1" authorId="0" shapeId="0" xr:uid="{A6792183-3140-44B0-81CE-DD0612DEE154}">
      <text>
        <r>
          <rPr>
            <sz val="9"/>
            <color indexed="81"/>
            <rFont val="Tahoma"/>
            <family val="2"/>
          </rPr>
          <t>Number of operators to staff operation</t>
        </r>
      </text>
    </comment>
    <comment ref="C1" authorId="0" shapeId="0" xr:uid="{B63F3DBE-5464-4C55-8B88-23AA773AF20E}">
      <text>
        <r>
          <rPr>
            <sz val="9"/>
            <color indexed="81"/>
            <rFont val="Tahoma"/>
            <family val="2"/>
          </rPr>
          <t>Cost per production hour of line operators</t>
        </r>
      </text>
    </comment>
    <comment ref="D1" authorId="0" shapeId="0" xr:uid="{B329970A-A6B2-4A0B-AB84-6FC77B932828}">
      <text>
        <r>
          <rPr>
            <sz val="9"/>
            <color indexed="81"/>
            <rFont val="Tahoma"/>
            <family val="2"/>
          </rPr>
          <t>Cost of supervisor/line manager per production hr</t>
        </r>
      </text>
    </comment>
    <comment ref="E1" authorId="0" shapeId="0" xr:uid="{297FBD68-E7D8-41B5-BDF7-4CA72DDF796E}">
      <text>
        <r>
          <rPr>
            <sz val="9"/>
            <color indexed="81"/>
            <rFont val="Tahoma"/>
            <family val="2"/>
          </rPr>
          <t>Number of lab techs to staff operation</t>
        </r>
      </text>
    </comment>
    <comment ref="F1" authorId="0" shapeId="0" xr:uid="{C0C9EA12-6700-43F5-97EE-DA2C5578F945}">
      <text>
        <r>
          <rPr>
            <sz val="9"/>
            <color indexed="81"/>
            <rFont val="Tahoma"/>
            <family val="2"/>
          </rPr>
          <t>Lab staffing cost per hr production</t>
        </r>
      </text>
    </comment>
    <comment ref="G1" authorId="0" shapeId="0" xr:uid="{9AADC438-C0F0-417F-96EE-3180EEFE895C}">
      <text>
        <r>
          <rPr>
            <sz val="9"/>
            <color indexed="81"/>
            <rFont val="Tahoma"/>
            <family val="2"/>
          </rPr>
          <t>Cost per production hour per line operator</t>
        </r>
      </text>
    </comment>
    <comment ref="H1" authorId="0" shapeId="0" xr:uid="{CD53814F-0E13-4CF5-8960-DBE3FC4E0F7C}">
      <text>
        <r>
          <rPr>
            <sz val="9"/>
            <color indexed="81"/>
            <rFont val="Tahoma"/>
            <family val="2"/>
          </rPr>
          <t>Raw Cost per hour of line operators</t>
        </r>
      </text>
    </comment>
    <comment ref="I1" authorId="0" shapeId="0" xr:uid="{3F042236-8D8C-4467-B0A2-840C131801B5}">
      <text>
        <r>
          <rPr>
            <sz val="9"/>
            <color indexed="81"/>
            <rFont val="Tahoma"/>
            <family val="2"/>
          </rPr>
          <t>Fraction of operator hours per hour of production (meeting time)</t>
        </r>
      </text>
    </comment>
    <comment ref="J1" authorId="0" shapeId="0" xr:uid="{7D7AF73E-1D64-4FDF-8EFB-B64E3D78657C}">
      <text>
        <r>
          <rPr>
            <sz val="9"/>
            <color indexed="81"/>
            <rFont val="Tahoma"/>
            <family val="2"/>
          </rPr>
          <t>Working days per year for operator</t>
        </r>
      </text>
    </comment>
    <comment ref="K1" authorId="0" shapeId="0" xr:uid="{8E5FC923-2A87-4BE0-A0C2-A4AC0101D6B0}">
      <text>
        <r>
          <rPr>
            <sz val="9"/>
            <color indexed="81"/>
            <rFont val="Tahoma"/>
            <family val="2"/>
          </rPr>
          <t>Working days per year for operator</t>
        </r>
      </text>
    </comment>
    <comment ref="L1" authorId="0" shapeId="0" xr:uid="{8432E30D-107D-4CB2-9E87-30636E7D495B}">
      <text>
        <r>
          <rPr>
            <sz val="9"/>
            <color indexed="81"/>
            <rFont val="Tahoma"/>
            <family val="2"/>
          </rPr>
          <t>Annual loaded cost of a line operator ($/yr)</t>
        </r>
      </text>
    </comment>
    <comment ref="N1" authorId="0" shapeId="0" xr:uid="{E4FA0A1C-2872-45B0-A9DE-1AB7AC6EBA49}">
      <text>
        <r>
          <rPr>
            <sz val="9"/>
            <color indexed="81"/>
            <rFont val="Tahoma"/>
            <family val="2"/>
          </rPr>
          <t>Annual loaded cost of a line manager ($/yr</t>
        </r>
      </text>
    </comment>
    <comment ref="O1" authorId="0" shapeId="0" xr:uid="{5E0582C3-CD1C-4CD2-B632-2FFFED4163F8}">
      <text>
        <r>
          <rPr>
            <sz val="9"/>
            <color indexed="81"/>
            <rFont val="Tahoma"/>
            <family val="2"/>
          </rPr>
          <t>Annual loaded cost of a lab technician ($/yr)</t>
        </r>
      </text>
    </comment>
  </commentList>
</comments>
</file>

<file path=xl/sharedStrings.xml><?xml version="1.0" encoding="utf-8"?>
<sst xmlns="http://schemas.openxmlformats.org/spreadsheetml/2006/main" count="419" uniqueCount="230">
  <si>
    <t>Sheet</t>
  </si>
  <si>
    <t>Column</t>
  </si>
  <si>
    <t>Step</t>
  </si>
  <si>
    <t>After or End Column</t>
  </si>
  <si>
    <t>Keep Formulas</t>
  </si>
  <si>
    <t>Formula/List Name/Sort-by</t>
  </si>
  <si>
    <t>Number Format</t>
  </si>
  <si>
    <t>Comment</t>
  </si>
  <si>
    <t>Name</t>
  </si>
  <si>
    <t>SpecID</t>
  </si>
  <si>
    <t>Form</t>
  </si>
  <si>
    <t>BasisWt</t>
  </si>
  <si>
    <t>Chips</t>
  </si>
  <si>
    <t>XYZ123</t>
  </si>
  <si>
    <t>ZZZ123</t>
  </si>
  <si>
    <t>Solid</t>
  </si>
  <si>
    <t>Ingredients</t>
  </si>
  <si>
    <t>List_Forms</t>
  </si>
  <si>
    <t>Web</t>
  </si>
  <si>
    <t>Packaging Film</t>
  </si>
  <si>
    <t>XYZ234</t>
  </si>
  <si>
    <t>Pieces</t>
  </si>
  <si>
    <t>Cost</t>
  </si>
  <si>
    <t>=IF(Ingredients_Form="Web","g.sm","NA")</t>
  </si>
  <si>
    <t>Recipe needs to show formula; not calculated (error value)</t>
  </si>
  <si>
    <t>Should error check formulas and flag if there is a formula error</t>
  </si>
  <si>
    <t>Inserted (and renamed) columns should be checked to avoid redundancy</t>
  </si>
  <si>
    <t>Set column width of all columns (set to 50 then Autofit)</t>
  </si>
  <si>
    <t>Trays</t>
  </si>
  <si>
    <t>XYZ456</t>
  </si>
  <si>
    <t>=IF(Ingredients_Form="Solid","$.kg",IF(Ingredients_Form="Web","$.sm",IF(Ingredients_Form="Pieces","$.Each","ERR_Form")))</t>
  </si>
  <si>
    <t>Col_Insert</t>
  </si>
  <si>
    <t>Width</t>
  </si>
  <si>
    <t/>
  </si>
  <si>
    <t>Col_Dropdown</t>
  </si>
  <si>
    <t>Col_AddGroup</t>
  </si>
  <si>
    <t>Ingred1 Name</t>
  </si>
  <si>
    <t>Ingred1 Split</t>
  </si>
  <si>
    <t>Ingred1 Form</t>
  </si>
  <si>
    <t>Ingred1 Unit Cost</t>
  </si>
  <si>
    <t>Ingred1 Cost Contribution</t>
  </si>
  <si>
    <t>Dough</t>
  </si>
  <si>
    <t>Mixes</t>
  </si>
  <si>
    <t>=VLOOKUP(Mixes_Ingred1Name,Ingredients,MATCH("Form",Ingredients_Header,0),FALSE)</t>
  </si>
  <si>
    <t>=VLOOKUP(Mixes_Ingred1Name,Ingredients,MATCH("Cost",Ingredients_Header,0),FALSE)</t>
  </si>
  <si>
    <t>=Mixes_Ingred1Split*Mixes_Ingred1UnitCost</t>
  </si>
  <si>
    <t>Col_NumFormat</t>
  </si>
  <si>
    <t>$#,##0.0000</t>
  </si>
  <si>
    <t>Mix Unit Cost</t>
  </si>
  <si>
    <t>0.00%</t>
  </si>
  <si>
    <t>Ingred2 Name</t>
  </si>
  <si>
    <t>Ingred2 Split</t>
  </si>
  <si>
    <t>Ingred2 Form</t>
  </si>
  <si>
    <t>Ingred2 Unit Cost</t>
  </si>
  <si>
    <t>Ingred2 Cost Contribution</t>
  </si>
  <si>
    <t>=VLOOKUP(Mixes_Ingred2Name,Ingredients,MATCH("Form",Ingredients_Header,0),FALSE)</t>
  </si>
  <si>
    <t>=VLOOKUP(Mixes_Ingred2Name,Ingredients,MATCH("Cost",Ingredients_Header,0),FALSE)</t>
  </si>
  <si>
    <t>=Mixes_Ingred2Split*Mixes_Ingred2UnitCost</t>
  </si>
  <si>
    <t>=Mixes_Ingred1CostContribution+Mixes_Ingred2CostContribution</t>
  </si>
  <si>
    <t>BasisWt Entered</t>
  </si>
  <si>
    <t>Units Cost</t>
  </si>
  <si>
    <t>=IF(Ingredients_Form="Web",IF(LEN(Ingredients_BasisWtEntered)&gt;0,Ingredients_BasisWtEntered,"Enter BW for " &amp; Ingredients_Form),"NA")</t>
  </si>
  <si>
    <t>Units BasisWt</t>
  </si>
  <si>
    <t>Mix Name</t>
  </si>
  <si>
    <t>Scenario Names</t>
  </si>
  <si>
    <t>Scenario</t>
  </si>
  <si>
    <t>Grp</t>
  </si>
  <si>
    <t>Subgrp</t>
  </si>
  <si>
    <t>Description</t>
  </si>
  <si>
    <t>Variable Names</t>
  </si>
  <si>
    <t>Units</t>
  </si>
  <si>
    <t>Number Fmt</t>
  </si>
  <si>
    <t>Formula/Row Type</t>
  </si>
  <si>
    <t>Time</t>
  </si>
  <si>
    <t>min.hr</t>
  </si>
  <si>
    <t>s.min</t>
  </si>
  <si>
    <t>s.hr</t>
  </si>
  <si>
    <t>Weight</t>
  </si>
  <si>
    <t>g.kg</t>
  </si>
  <si>
    <t>kg.lb</t>
  </si>
  <si>
    <t>Convert</t>
  </si>
  <si>
    <t>n_operators</t>
  </si>
  <si>
    <t>Batch Making Base</t>
  </si>
  <si>
    <t>Col_Format</t>
  </si>
  <si>
    <t>$#,##0</t>
  </si>
  <si>
    <t>0.0</t>
  </si>
  <si>
    <t>Number of operators to staff operation</t>
  </si>
  <si>
    <t>n_labtech</t>
  </si>
  <si>
    <t>Number of lab techs to staff operation</t>
  </si>
  <si>
    <t>Annual loaded cost of a line operator ($/yr)</t>
  </si>
  <si>
    <t>Annual loaded cost of a line manager ($/yr</t>
  </si>
  <si>
    <t>Annual loaded cost of a lab technician ($/yr)</t>
  </si>
  <si>
    <t>Working days per year for operator</t>
  </si>
  <si>
    <t>oper_hr.day</t>
  </si>
  <si>
    <t>Raw Cost per hour of line operators</t>
  </si>
  <si>
    <t>$#,##0.00</t>
  </si>
  <si>
    <t>0.000</t>
  </si>
  <si>
    <t>oper_line hrs.hr_clocked_in</t>
  </si>
  <si>
    <t>Fraction of operator hours per hour of production (meeting time)</t>
  </si>
  <si>
    <t>cost.hr_oper_clocked_in</t>
  </si>
  <si>
    <t>Cost per production hour of line operators</t>
  </si>
  <si>
    <t>oper_d.yr</t>
  </si>
  <si>
    <t>cost_operator.yr</t>
  </si>
  <si>
    <t>Tbl_FreezeRow1</t>
  </si>
  <si>
    <t>cost_lab_tech.yr</t>
  </si>
  <si>
    <t>cost.hr_prodn.operator</t>
  </si>
  <si>
    <t>cost_opers.hr_prodn</t>
  </si>
  <si>
    <t>Cost per production hour per line operator</t>
  </si>
  <si>
    <t>cost_spv.hr_prodn</t>
  </si>
  <si>
    <t>Cost of supervisor/line manager per production hr</t>
  </si>
  <si>
    <t>cost_lab.hr_prodn</t>
  </si>
  <si>
    <t>operator_spv_ratio</t>
  </si>
  <si>
    <t>cost_spv.yr</t>
  </si>
  <si>
    <t>kg.yr_business</t>
  </si>
  <si>
    <t>kg.year</t>
  </si>
  <si>
    <t>Lines_Required</t>
  </si>
  <si>
    <t>lines</t>
  </si>
  <si>
    <t>kg.yr.line</t>
  </si>
  <si>
    <t>kg.yr</t>
  </si>
  <si>
    <t>hrs.day_line</t>
  </si>
  <si>
    <t>hrs</t>
  </si>
  <si>
    <t>frac_prodn_scheduled</t>
  </si>
  <si>
    <t>frac_availability</t>
  </si>
  <si>
    <t>frac_scrap</t>
  </si>
  <si>
    <t>hrs.day_available</t>
  </si>
  <si>
    <t>hrs.day</t>
  </si>
  <si>
    <t>hrs.year_available</t>
  </si>
  <si>
    <t>hrs.yr</t>
  </si>
  <si>
    <t>IsBatch</t>
  </si>
  <si>
    <t>Time_batch</t>
  </si>
  <si>
    <t>min.batch</t>
  </si>
  <si>
    <t>Wt_batch</t>
  </si>
  <si>
    <t>kg.batch</t>
  </si>
  <si>
    <t>batches.year.line</t>
  </si>
  <si>
    <t>batch.yr</t>
  </si>
  <si>
    <t>IsContinuous</t>
  </si>
  <si>
    <t>kg.min_continuous</t>
  </si>
  <si>
    <t>kg.min</t>
  </si>
  <si>
    <t>IsWeb</t>
  </si>
  <si>
    <t>width_process</t>
  </si>
  <si>
    <t>mm</t>
  </si>
  <si>
    <t>width_product</t>
  </si>
  <si>
    <t>n_lanes</t>
  </si>
  <si>
    <t>BasisWt_product</t>
  </si>
  <si>
    <t>g.sm</t>
  </si>
  <si>
    <t>speed_web</t>
  </si>
  <si>
    <t>m.min</t>
  </si>
  <si>
    <t>kg.min_web</t>
  </si>
  <si>
    <t>days.yr</t>
  </si>
  <si>
    <t>0.00</t>
  </si>
  <si>
    <t>0</t>
  </si>
  <si>
    <t>#,##0</t>
  </si>
  <si>
    <t>Distance</t>
  </si>
  <si>
    <t>mm.m</t>
  </si>
  <si>
    <t>WebProcess</t>
  </si>
  <si>
    <t>Batch_Process</t>
  </si>
  <si>
    <t>Continuous_Process</t>
  </si>
  <si>
    <t>Capacity Calculations</t>
  </si>
  <si>
    <t>process_type</t>
  </si>
  <si>
    <t>Input Dropdown:list_process_types</t>
  </si>
  <si>
    <t>List_Process_Types</t>
  </si>
  <si>
    <t>Batch</t>
  </si>
  <si>
    <t>Continuous</t>
  </si>
  <si>
    <t>Calculator</t>
  </si>
  <si>
    <t>mm.in</t>
  </si>
  <si>
    <t>Unit Conversions</t>
  </si>
  <si>
    <t>Type</t>
  </si>
  <si>
    <t>txtval</t>
  </si>
  <si>
    <t>bool1</t>
  </si>
  <si>
    <t>bool2</t>
  </si>
  <si>
    <t>bool3</t>
  </si>
  <si>
    <t>bool4</t>
  </si>
  <si>
    <t>bool5</t>
  </si>
  <si>
    <t>ShtNameFrm</t>
  </si>
  <si>
    <t>Notes</t>
  </si>
  <si>
    <t>=ROUND(@kg.yr_business/@kg.yr.line,3)</t>
  </si>
  <si>
    <t>=IF(@IsBatch,@batches.year.line*@Wt_batch, IF(@IsContinuous, ROUND(@kg.min_continuous*@hrs.year_available*min.hr,1),IF(@IsWeb, @hrs.year_available*@kg.min_web*min.hr,"Error")))</t>
  </si>
  <si>
    <t>=@hrs.day_line*@frac_prodn_scheduled*@frac_availability*(1-@frac_scrap)</t>
  </si>
  <si>
    <t>=ROUND(@hrs.day_available*days.yr,0)</t>
  </si>
  <si>
    <t>=IF(@IsBatch,TRUNC(@hrs.year_available*min.hr/@Time_batch),"")</t>
  </si>
  <si>
    <t>=IF(@IsWeb,TRUNC(@width_process/@width_product,0),"")</t>
  </si>
  <si>
    <t>=IF(@IsWeb, (@n_lanes*@width_product/mm.m)*@speed_web*@BasisWt_product/g.kg,"")</t>
  </si>
  <si>
    <t>=IF(@process_type="Continuous", True, False)</t>
  </si>
  <si>
    <t>=IF(@process_type="Web", True, False)</t>
  </si>
  <si>
    <t>oper</t>
  </si>
  <si>
    <t>=@oper_n_operators*@oper_cost.hr_prodn.operator</t>
  </si>
  <si>
    <t>=@oper_cost.hr_oper_clocked_in/@oper_oper_linehrs.hr_clocked_in</t>
  </si>
  <si>
    <t>Lab staffing cost per hr production</t>
  </si>
  <si>
    <t>=ROUND(@oper_cost_spv.yr/(@oper_oper_linehrs.hr_clocked_in*@oper_oper_d.yr*@oper_oper_hr.day*@oper_operator_spv_ratio), 2)</t>
  </si>
  <si>
    <t>mixes</t>
  </si>
  <si>
    <t>finan</t>
  </si>
  <si>
    <t>ingred</t>
  </si>
  <si>
    <t>Single Line Capacity</t>
  </si>
  <si>
    <t>Business Size</t>
  </si>
  <si>
    <t>Number of lines required [fractional]</t>
  </si>
  <si>
    <t>Crewed hours per day</t>
  </si>
  <si>
    <t>Scheduled hrs per year available</t>
  </si>
  <si>
    <t>Process type (select calculation mode)</t>
  </si>
  <si>
    <t>Batch Time</t>
  </si>
  <si>
    <t>Batch Weight</t>
  </si>
  <si>
    <t>Batches per year per line in available time</t>
  </si>
  <si>
    <t>Process web width (aka master roll width)</t>
  </si>
  <si>
    <t>Product (aka lane) slit width</t>
  </si>
  <si>
    <t>Calculated number of lanes per master roll</t>
  </si>
  <si>
    <t>Product basis weight</t>
  </si>
  <si>
    <t>Linear web speed</t>
  </si>
  <si>
    <t>Line throughput (weight basis)</t>
  </si>
  <si>
    <t>Batch Making Increase Automation</t>
  </si>
  <si>
    <t>=@oper_cost_operator.yr/(@oper_oper_d.yr*@oper_oper_hr.day)</t>
  </si>
  <si>
    <t>=@oper_n_labtech*@oper_cost_lab_tech.yr/0</t>
  </si>
  <si>
    <t>=IF(@process_type="Batch",TRUE, FALSE)</t>
  </si>
  <si>
    <t>Batch Process Selected for Scenario Column</t>
  </si>
  <si>
    <t>Continuous Process Selected for Scenario Column</t>
  </si>
  <si>
    <t>Line Scheduled Production Time</t>
  </si>
  <si>
    <t>Line Availability (downtime, xover losses)</t>
  </si>
  <si>
    <t>Line Scrap (prodn of off-quality)</t>
  </si>
  <si>
    <t>Avg. Scheduled hrs per day available</t>
  </si>
  <si>
    <t>Batch Process Throughput</t>
  </si>
  <si>
    <t>Continuous Process Throughput</t>
  </si>
  <si>
    <t>Web Process Throughput</t>
  </si>
  <si>
    <t>Batch Process</t>
  </si>
  <si>
    <t>Continuous Process</t>
  </si>
  <si>
    <t>Line Crew cost per production hour</t>
  </si>
  <si>
    <t>cost_crew.hr_prodn</t>
  </si>
  <si>
    <t>$.hr</t>
  </si>
  <si>
    <t>Operation name</t>
  </si>
  <si>
    <t>name_oper</t>
  </si>
  <si>
    <t>=IFERROR(ROUND(VLOOKUP(@name_oper, oper, MATCH("cost_opers.hr_prodn", oper_Header, 0), FALSE),2),"")</t>
  </si>
  <si>
    <t>Example Lookup Formula</t>
  </si>
  <si>
    <t>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</si>
</sst>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&quot;$&quot;#,##0"/>
    <numFmt numFmtId="166" formatCode="&quot;$&quot;#,##0.00"/>
    <numFmt numFmtId="167" formatCode="0.000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rgb="FFFFFFCC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9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3" borderId="2" applyNumberFormat="0" applyFont="0" applyAlignment="0" applyProtection="0"/>
    <xf numFmtId="0" fontId="4" fillId="5" borderId="3" applyNumberFormat="0" applyAlignment="0" applyProtection="0"/>
    <xf numFmtId="0" fontId="1" fillId="6" borderId="0" applyNumberFormat="0" applyBorder="0" applyAlignment="0" applyProtection="0"/>
    <xf numFmtId="0" fontId="7" fillId="8" borderId="0" applyNumberFormat="0" applyBorder="0" applyAlignment="0" applyProtection="0"/>
  </cellStyleXfs>
  <cellXfs count="58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3" borderId="2" xfId="2" applyFont="1"/>
    <xf numFmtId="49" fontId="2" fillId="0" borderId="1" xfId="0" applyNumberFormat="1" applyFont="1" applyBorder="1" applyAlignment="1">
      <alignment wrapText="1"/>
    </xf>
    <xf numFmtId="0" fontId="0" fillId="0" borderId="0" xfId="0" applyAlignment="1">
      <alignment wrapText="1"/>
    </xf>
    <xf numFmtId="49" fontId="2" fillId="0" borderId="1" xfId="0" applyNumberFormat="1" applyFont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0" borderId="0" xfId="0" applyAlignment="1">
      <alignment horizontal="right"/>
    </xf>
    <xf numFmtId="49" fontId="5" fillId="2" borderId="0" xfId="1" applyNumberFormat="1" applyFont="1" applyBorder="1" applyAlignment="1">
      <alignment wrapText="1"/>
    </xf>
    <xf numFmtId="0" fontId="5" fillId="2" borderId="0" xfId="1" applyFont="1" applyBorder="1" applyAlignment="1">
      <alignment wrapText="1"/>
    </xf>
    <xf numFmtId="0" fontId="2" fillId="0" borderId="1" xfId="0" applyFont="1" applyBorder="1" applyAlignment="1">
      <alignment wrapText="1"/>
    </xf>
    <xf numFmtId="49" fontId="0" fillId="0" borderId="0" xfId="0" applyNumberFormat="1"/>
    <xf numFmtId="0" fontId="2" fillId="3" borderId="1" xfId="2" applyFont="1" applyBorder="1"/>
    <xf numFmtId="49" fontId="2" fillId="3" borderId="1" xfId="2" applyNumberFormat="1" applyFont="1" applyBorder="1"/>
    <xf numFmtId="0" fontId="1" fillId="6" borderId="0" xfId="4"/>
    <xf numFmtId="0" fontId="1" fillId="6" borderId="0" xfId="4" applyAlignment="1">
      <alignment wrapText="1"/>
    </xf>
    <xf numFmtId="0" fontId="0" fillId="0" borderId="5" xfId="0" applyBorder="1"/>
    <xf numFmtId="0" fontId="2" fillId="3" borderId="5" xfId="2" applyFont="1" applyBorder="1"/>
    <xf numFmtId="49" fontId="2" fillId="3" borderId="5" xfId="2" applyNumberFormat="1" applyFont="1" applyBorder="1"/>
    <xf numFmtId="0" fontId="1" fillId="6" borderId="5" xfId="4" applyBorder="1" applyAlignment="1">
      <alignment wrapText="1"/>
    </xf>
    <xf numFmtId="0" fontId="1" fillId="6" borderId="5" xfId="4" applyBorder="1" applyAlignment="1">
      <alignment vertical="center" wrapText="1"/>
    </xf>
    <xf numFmtId="0" fontId="2" fillId="0" borderId="1" xfId="0" applyFont="1" applyBorder="1" applyAlignment="1">
      <alignment vertical="center"/>
    </xf>
    <xf numFmtId="165" fontId="0" fillId="0" borderId="1" xfId="0" applyNumberFormat="1" applyBorder="1"/>
    <xf numFmtId="164" fontId="0" fillId="0" borderId="1" xfId="0" applyNumberFormat="1" applyBorder="1"/>
    <xf numFmtId="166" fontId="4" fillId="5" borderId="3" xfId="3" applyNumberFormat="1"/>
    <xf numFmtId="164" fontId="0" fillId="0" borderId="4" xfId="0" applyNumberFormat="1" applyBorder="1"/>
    <xf numFmtId="166" fontId="4" fillId="5" borderId="7" xfId="3" applyNumberFormat="1" applyBorder="1"/>
    <xf numFmtId="167" fontId="0" fillId="0" borderId="6" xfId="0" applyNumberFormat="1" applyBorder="1"/>
    <xf numFmtId="0" fontId="1" fillId="7" borderId="0" xfId="4" applyFill="1"/>
    <xf numFmtId="0" fontId="1" fillId="7" borderId="5" xfId="4" applyFill="1" applyBorder="1" applyAlignment="1">
      <alignment wrapText="1"/>
    </xf>
    <xf numFmtId="0" fontId="1" fillId="7" borderId="5" xfId="4" applyFill="1" applyBorder="1" applyAlignment="1">
      <alignment vertical="center" wrapText="1"/>
    </xf>
    <xf numFmtId="0" fontId="8" fillId="0" borderId="0" xfId="0" applyFont="1"/>
    <xf numFmtId="0" fontId="8" fillId="0" borderId="1" xfId="0" applyFont="1" applyBorder="1"/>
    <xf numFmtId="0" fontId="8" fillId="0" borderId="5" xfId="0" applyFont="1" applyBorder="1"/>
    <xf numFmtId="0" fontId="9" fillId="3" borderId="1" xfId="2" applyFont="1" applyBorder="1"/>
    <xf numFmtId="0" fontId="9" fillId="3" borderId="5" xfId="2" applyFont="1" applyBorder="1"/>
    <xf numFmtId="0" fontId="4" fillId="5" borderId="3" xfId="3"/>
    <xf numFmtId="0" fontId="4" fillId="5" borderId="8" xfId="3" applyBorder="1"/>
    <xf numFmtId="2" fontId="8" fillId="0" borderId="5" xfId="0" applyNumberFormat="1" applyFont="1" applyBorder="1"/>
    <xf numFmtId="167" fontId="8" fillId="0" borderId="1" xfId="0" applyNumberFormat="1" applyFont="1" applyBorder="1"/>
    <xf numFmtId="167" fontId="8" fillId="0" borderId="5" xfId="0" applyNumberFormat="1" applyFont="1" applyBorder="1"/>
    <xf numFmtId="2" fontId="4" fillId="5" borderId="8" xfId="3" applyNumberFormat="1" applyBorder="1"/>
    <xf numFmtId="1" fontId="4" fillId="5" borderId="3" xfId="3" applyNumberFormat="1"/>
    <xf numFmtId="3" fontId="8" fillId="0" borderId="5" xfId="0" applyNumberFormat="1" applyFont="1" applyBorder="1"/>
    <xf numFmtId="3" fontId="4" fillId="5" borderId="3" xfId="3" applyNumberFormat="1"/>
    <xf numFmtId="0" fontId="1" fillId="9" borderId="5" xfId="4" applyFill="1" applyBorder="1" applyAlignment="1">
      <alignment wrapText="1"/>
    </xf>
    <xf numFmtId="0" fontId="1" fillId="9" borderId="5" xfId="4" applyFill="1" applyBorder="1" applyAlignment="1">
      <alignment vertical="center" wrapText="1"/>
    </xf>
    <xf numFmtId="0" fontId="2" fillId="3" borderId="2" xfId="2" applyFont="1"/>
    <xf numFmtId="164" fontId="0" fillId="0" borderId="9" xfId="0" applyNumberFormat="1" applyBorder="1"/>
    <xf numFmtId="3" fontId="10" fillId="8" borderId="5" xfId="5" applyNumberFormat="1" applyFont="1" applyBorder="1"/>
    <xf numFmtId="0" fontId="4" fillId="5" borderId="7" xfId="3" applyBorder="1"/>
    <xf numFmtId="0" fontId="0" fillId="0" borderId="0" xfId="0" applyBorder="1"/>
    <xf numFmtId="0" fontId="2" fillId="0" borderId="0" xfId="0" applyFont="1" applyBorder="1"/>
    <xf numFmtId="49" fontId="2" fillId="0" borderId="0" xfId="0" applyNumberFormat="1" applyFont="1" applyBorder="1" applyAlignment="1">
      <alignment wrapText="1"/>
    </xf>
    <xf numFmtId="0" fontId="2" fillId="0" borderId="0" xfId="0" applyFont="1" applyBorder="1" applyAlignment="1">
      <alignment wrapText="1"/>
    </xf>
    <xf numFmtId="49" fontId="2" fillId="0" borderId="0" xfId="0" applyNumberFormat="1" applyFont="1" applyBorder="1"/>
  </cellXfs>
  <cellStyles count="6">
    <cellStyle name="Accent1" xfId="4" builtinId="29"/>
    <cellStyle name="Accent2" xfId="1" builtinId="33"/>
    <cellStyle name="Calculation" xfId="3" builtinId="22"/>
    <cellStyle name="Neutral" xfId="5" builtinId="28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8A9DA-431A-4ADF-A701-903AAFF4D8F7}">
  <sheetPr codeName="Sheet3"/>
  <dimension ref="A1:K40"/>
  <sheetViews>
    <sheetView tabSelected="1" zoomScale="110" zoomScaleNormal="110" workbookViewId="0">
      <pane xSplit="7" ySplit="2" topLeftCell="H3" activePane="bottomRight" state="frozenSplit"/>
      <selection activeCell="C90" sqref="C90"/>
      <selection pane="topRight" activeCell="C90" sqref="C90"/>
      <selection pane="bottomLeft" activeCell="C90" sqref="C90"/>
      <selection pane="bottomRight" activeCell="A2" sqref="A2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42" style="5" customWidth="1"/>
    <col min="4" max="4" width="17.46484375" customWidth="1"/>
    <col min="5" max="5" width="9.265625" customWidth="1"/>
    <col min="6" max="6" width="12.73046875" customWidth="1" outlineLevel="1"/>
    <col min="7" max="7" width="82.59765625" customWidth="1" outlineLevel="1"/>
    <col min="8" max="8" width="4.59765625" customWidth="1"/>
    <col min="9" max="9" width="17.73046875" customWidth="1"/>
    <col min="10" max="10" width="18.19921875" customWidth="1"/>
    <col min="11" max="11" width="12.3984375" customWidth="1"/>
  </cols>
  <sheetData>
    <row r="1" spans="1:11" x14ac:dyDescent="0.45">
      <c r="A1" s="16" t="s">
        <v>66</v>
      </c>
      <c r="B1" s="16" t="s">
        <v>67</v>
      </c>
      <c r="C1" s="17" t="s">
        <v>68</v>
      </c>
      <c r="D1" s="16" t="s">
        <v>69</v>
      </c>
      <c r="E1" s="16" t="s">
        <v>70</v>
      </c>
      <c r="F1" s="16" t="s">
        <v>71</v>
      </c>
      <c r="G1" s="16" t="s">
        <v>72</v>
      </c>
      <c r="I1" s="16" t="s">
        <v>220</v>
      </c>
      <c r="J1" s="16" t="s">
        <v>221</v>
      </c>
      <c r="K1" s="16" t="s">
        <v>154</v>
      </c>
    </row>
    <row r="2" spans="1:11" x14ac:dyDescent="0.45">
      <c r="C2" s="5" t="s">
        <v>64</v>
      </c>
      <c r="D2" s="14" t="s">
        <v>65</v>
      </c>
      <c r="E2" s="14"/>
      <c r="F2" s="15"/>
      <c r="G2" s="15"/>
      <c r="I2" s="49" t="s">
        <v>155</v>
      </c>
      <c r="J2" s="49" t="s">
        <v>156</v>
      </c>
      <c r="K2" s="49" t="s">
        <v>154</v>
      </c>
    </row>
    <row r="3" spans="1:11" x14ac:dyDescent="0.45">
      <c r="A3" t="s">
        <v>157</v>
      </c>
      <c r="F3" s="13"/>
      <c r="G3" s="13"/>
    </row>
    <row r="4" spans="1:11" ht="15.75" x14ac:dyDescent="0.5">
      <c r="C4" s="5" t="s">
        <v>193</v>
      </c>
      <c r="D4" s="37" t="s">
        <v>113</v>
      </c>
      <c r="E4" s="37" t="s">
        <v>114</v>
      </c>
      <c r="F4" s="20" t="s">
        <v>151</v>
      </c>
      <c r="G4" s="20"/>
      <c r="I4" s="45">
        <v>6000000</v>
      </c>
      <c r="J4" s="51">
        <f>(kg.yr_business Batch_Process)</f>
        <v>6000000</v>
      </c>
      <c r="K4" s="51">
        <f>(kg.yr_business Batch_Process)</f>
        <v>6000000</v>
      </c>
    </row>
    <row r="5" spans="1:11" x14ac:dyDescent="0.45">
      <c r="C5" s="5" t="s">
        <v>194</v>
      </c>
      <c r="D5" s="37" t="s">
        <v>115</v>
      </c>
      <c r="E5" s="37" t="s">
        <v>116</v>
      </c>
      <c r="F5" s="20"/>
      <c r="G5" s="20" t="s">
        <v>175</v>
      </c>
      <c r="I5" s="39">
        <f>ROUND(kg.yr_business/kg.yr.line,3)</f>
        <v>1.252</v>
      </c>
      <c r="J5" s="39">
        <f>ROUND(kg.yr_business/kg.yr.line,3)</f>
        <v>0.86499999999999999</v>
      </c>
      <c r="K5" s="39">
        <f>ROUND(kg.yr_business/kg.yr.line,3)</f>
        <v>3.0049999999999999</v>
      </c>
    </row>
    <row r="6" spans="1:11" x14ac:dyDescent="0.45">
      <c r="C6" s="5" t="s">
        <v>192</v>
      </c>
      <c r="D6" s="36" t="s">
        <v>117</v>
      </c>
      <c r="E6" s="36" t="s">
        <v>118</v>
      </c>
      <c r="F6" s="15" t="s">
        <v>151</v>
      </c>
      <c r="G6" s="15" t="s">
        <v>176</v>
      </c>
      <c r="I6" s="46">
        <f>IF(_xlfn.SINGLE(IsBatch),_xlfn.SINGLE(batches.year.line)*_xlfn.SINGLE(Wt_batch), IF(_xlfn.SINGLE(IsContinuous), ROUND(_xlfn.SINGLE(kg.min_continuous)*_xlfn.SINGLE(hrs.year_available)*min.hr,1),IF(_xlfn.SINGLE(IsWeb), _xlfn.SINGLE(hrs.year_available)*_xlfn.SINGLE(kg.min_web)*min.hr,"Error")))</f>
        <v>4792800</v>
      </c>
      <c r="J6" s="46">
        <f>IF(_xlfn.SINGLE(IsBatch),_xlfn.SINGLE(batches.year.line)*_xlfn.SINGLE(Wt_batch), IF(_xlfn.SINGLE(IsContinuous), ROUND(_xlfn.SINGLE(kg.min_continuous)*_xlfn.SINGLE(hrs.year_available)*min.hr,1),IF(_xlfn.SINGLE(IsWeb), _xlfn.SINGLE(hrs.year_available)*_xlfn.SINGLE(kg.min_web)*min.hr,"Error")))</f>
        <v>6933600</v>
      </c>
      <c r="K6" s="46">
        <f>IF(_xlfn.SINGLE(IsBatch),_xlfn.SINGLE(batches.year.line)*_xlfn.SINGLE(Wt_batch), IF(_xlfn.SINGLE(IsContinuous), ROUND(_xlfn.SINGLE(kg.min_continuous)*_xlfn.SINGLE(hrs.year_available)*min.hr,1),IF(_xlfn.SINGLE(IsWeb), _xlfn.SINGLE(hrs.year_available)*_xlfn.SINGLE(kg.min_web)*min.hr,"Error")))</f>
        <v>1996495.2</v>
      </c>
    </row>
    <row r="7" spans="1:11" ht="15.75" x14ac:dyDescent="0.5">
      <c r="D7" s="33"/>
      <c r="E7" s="33"/>
      <c r="F7" s="13"/>
      <c r="G7" s="13"/>
      <c r="I7" s="33"/>
      <c r="J7" s="33"/>
      <c r="K7" s="33"/>
    </row>
    <row r="8" spans="1:11" ht="15.75" x14ac:dyDescent="0.5">
      <c r="C8" s="5" t="s">
        <v>195</v>
      </c>
      <c r="D8" s="37" t="s">
        <v>119</v>
      </c>
      <c r="E8" s="37" t="s">
        <v>120</v>
      </c>
      <c r="F8" s="20" t="s">
        <v>149</v>
      </c>
      <c r="G8" s="20"/>
      <c r="I8" s="40">
        <v>24</v>
      </c>
      <c r="J8" s="40">
        <v>24</v>
      </c>
      <c r="K8" s="40">
        <v>24</v>
      </c>
    </row>
    <row r="9" spans="1:11" ht="15.75" x14ac:dyDescent="0.5">
      <c r="C9" s="5" t="s">
        <v>213</v>
      </c>
      <c r="D9" s="37" t="s">
        <v>121</v>
      </c>
      <c r="E9" s="37"/>
      <c r="F9" s="20" t="s">
        <v>96</v>
      </c>
      <c r="G9" s="20"/>
      <c r="I9" s="42">
        <v>0.85</v>
      </c>
      <c r="J9" s="42">
        <v>0.85</v>
      </c>
      <c r="K9" s="42">
        <v>0.85</v>
      </c>
    </row>
    <row r="10" spans="1:11" ht="15.75" x14ac:dyDescent="0.5">
      <c r="C10" s="5" t="s">
        <v>214</v>
      </c>
      <c r="D10" s="37" t="s">
        <v>122</v>
      </c>
      <c r="E10" s="37"/>
      <c r="F10" s="20" t="s">
        <v>96</v>
      </c>
      <c r="G10" s="20"/>
      <c r="I10" s="42">
        <v>0.8</v>
      </c>
      <c r="J10" s="42">
        <v>0.8</v>
      </c>
      <c r="K10" s="42">
        <v>0.8</v>
      </c>
    </row>
    <row r="11" spans="1:11" ht="15.75" x14ac:dyDescent="0.5">
      <c r="C11" s="5" t="s">
        <v>215</v>
      </c>
      <c r="D11" s="36" t="s">
        <v>123</v>
      </c>
      <c r="E11" s="36"/>
      <c r="F11" s="15" t="s">
        <v>96</v>
      </c>
      <c r="G11" s="15"/>
      <c r="I11" s="41">
        <v>0.05</v>
      </c>
      <c r="J11" s="41">
        <v>0.03</v>
      </c>
      <c r="K11" s="41">
        <v>0.05</v>
      </c>
    </row>
    <row r="12" spans="1:11" x14ac:dyDescent="0.45">
      <c r="F12" s="13"/>
      <c r="G12" s="13"/>
    </row>
    <row r="13" spans="1:11" x14ac:dyDescent="0.45">
      <c r="C13" s="5" t="s">
        <v>216</v>
      </c>
      <c r="D13" s="37" t="s">
        <v>124</v>
      </c>
      <c r="E13" s="37" t="s">
        <v>125</v>
      </c>
      <c r="F13" s="20" t="s">
        <v>149</v>
      </c>
      <c r="G13" s="20" t="s">
        <v>177</v>
      </c>
      <c r="I13" s="43">
        <f>hrs.day_line*frac_prodn_scheduled*frac_availability*(1-frac_scrap)</f>
        <v>15.504</v>
      </c>
      <c r="J13" s="43">
        <f>hrs.day_line*frac_prodn_scheduled*frac_availability*(1-frac_scrap)</f>
        <v>15.830399999999999</v>
      </c>
      <c r="K13" s="43">
        <f>hrs.day_line*frac_prodn_scheduled*frac_availability*(1-frac_scrap)</f>
        <v>15.504</v>
      </c>
    </row>
    <row r="14" spans="1:11" x14ac:dyDescent="0.45">
      <c r="C14" s="5" t="s">
        <v>196</v>
      </c>
      <c r="D14" s="36" t="s">
        <v>126</v>
      </c>
      <c r="E14" s="36" t="s">
        <v>127</v>
      </c>
      <c r="F14" s="15" t="s">
        <v>150</v>
      </c>
      <c r="G14" s="15" t="s">
        <v>178</v>
      </c>
      <c r="I14" s="44">
        <f>ROUND(hrs.day_available*days.yr,0)</f>
        <v>5659</v>
      </c>
      <c r="J14" s="44">
        <f>ROUND(hrs.day_available*days.yr,0)</f>
        <v>5778</v>
      </c>
      <c r="K14" s="44">
        <f>ROUND(hrs.day_available*days.yr,0)</f>
        <v>5659</v>
      </c>
    </row>
    <row r="15" spans="1:11" x14ac:dyDescent="0.45">
      <c r="F15" s="13"/>
      <c r="G15" s="13"/>
    </row>
    <row r="16" spans="1:11" x14ac:dyDescent="0.45">
      <c r="C16" s="5" t="s">
        <v>197</v>
      </c>
      <c r="D16" s="36" t="s">
        <v>158</v>
      </c>
      <c r="E16" s="14"/>
      <c r="F16" s="15"/>
      <c r="G16" s="15" t="s">
        <v>159</v>
      </c>
      <c r="I16" s="1" t="s">
        <v>161</v>
      </c>
      <c r="J16" s="1" t="s">
        <v>162</v>
      </c>
      <c r="K16" s="1" t="s">
        <v>18</v>
      </c>
    </row>
    <row r="17" spans="1:11" ht="15.75" x14ac:dyDescent="0.5">
      <c r="D17" s="33"/>
      <c r="E17" s="33"/>
      <c r="F17" s="13"/>
      <c r="G17" s="13"/>
      <c r="I17" s="33"/>
      <c r="J17" s="33"/>
      <c r="K17" s="33"/>
    </row>
    <row r="18" spans="1:11" ht="15.75" x14ac:dyDescent="0.5">
      <c r="A18" t="s">
        <v>217</v>
      </c>
      <c r="D18" s="33"/>
      <c r="E18" s="33"/>
      <c r="F18" s="13"/>
      <c r="G18" s="13"/>
      <c r="I18" s="33"/>
      <c r="J18" s="33"/>
      <c r="K18" s="33"/>
    </row>
    <row r="19" spans="1:11" x14ac:dyDescent="0.45">
      <c r="C19" s="5" t="s">
        <v>211</v>
      </c>
      <c r="D19" s="37" t="s">
        <v>128</v>
      </c>
      <c r="E19" s="37"/>
      <c r="F19" s="20"/>
      <c r="G19" s="20" t="s">
        <v>210</v>
      </c>
      <c r="I19" s="39" t="b">
        <f>IF(process_type="Batch",TRUE, FALSE)</f>
        <v>1</v>
      </c>
      <c r="J19" s="39" t="b">
        <f>IF(process_type="Batch",TRUE, FALSE)</f>
        <v>0</v>
      </c>
      <c r="K19" s="39" t="b">
        <f>IF(process_type="Batch",TRUE, FALSE)</f>
        <v>0</v>
      </c>
    </row>
    <row r="20" spans="1:11" ht="15.75" x14ac:dyDescent="0.5">
      <c r="C20" s="5" t="s">
        <v>198</v>
      </c>
      <c r="D20" s="37" t="s">
        <v>129</v>
      </c>
      <c r="E20" s="37" t="s">
        <v>130</v>
      </c>
      <c r="F20" s="20"/>
      <c r="G20" s="20"/>
      <c r="I20" s="35">
        <v>85</v>
      </c>
      <c r="J20" s="35"/>
      <c r="K20" s="35"/>
    </row>
    <row r="21" spans="1:11" ht="15.75" x14ac:dyDescent="0.5">
      <c r="C21" s="5" t="s">
        <v>199</v>
      </c>
      <c r="D21" s="37" t="s">
        <v>131</v>
      </c>
      <c r="E21" s="37" t="s">
        <v>132</v>
      </c>
      <c r="F21" s="20"/>
      <c r="G21" s="20"/>
      <c r="I21" s="35">
        <v>1200</v>
      </c>
      <c r="J21" s="35"/>
      <c r="K21" s="35"/>
    </row>
    <row r="22" spans="1:11" x14ac:dyDescent="0.45">
      <c r="C22" s="5" t="s">
        <v>200</v>
      </c>
      <c r="D22" s="36" t="s">
        <v>133</v>
      </c>
      <c r="E22" s="36" t="s">
        <v>134</v>
      </c>
      <c r="F22" s="15"/>
      <c r="G22" s="15" t="s">
        <v>179</v>
      </c>
      <c r="I22" s="38">
        <f>IF(IsBatch,TRUNC(hrs.year_available*min.hr/Time_batch),"")</f>
        <v>3994</v>
      </c>
      <c r="J22" s="38" t="str">
        <f>IF(IsBatch,TRUNC(hrs.year_available*min.hr/Time_batch),"")</f>
        <v/>
      </c>
      <c r="K22" s="38" t="str">
        <f>IF(IsBatch,TRUNC(hrs.year_available*min.hr/Time_batch),"")</f>
        <v/>
      </c>
    </row>
    <row r="23" spans="1:11" x14ac:dyDescent="0.45">
      <c r="C23" s="5" t="s">
        <v>206</v>
      </c>
      <c r="F23" s="13"/>
      <c r="G23" s="13"/>
    </row>
    <row r="24" spans="1:11" ht="15.75" x14ac:dyDescent="0.5">
      <c r="D24" s="33"/>
      <c r="E24" s="33"/>
      <c r="F24" s="13"/>
      <c r="G24" s="13"/>
      <c r="I24" s="33"/>
      <c r="J24" s="33"/>
      <c r="K24" s="33"/>
    </row>
    <row r="25" spans="1:11" ht="15.75" x14ac:dyDescent="0.5">
      <c r="A25" t="s">
        <v>218</v>
      </c>
      <c r="D25" s="33"/>
      <c r="E25" s="33"/>
      <c r="F25" s="13"/>
      <c r="G25" s="13"/>
      <c r="I25" s="33"/>
      <c r="J25" s="33"/>
      <c r="K25" s="33"/>
    </row>
    <row r="26" spans="1:11" x14ac:dyDescent="0.45">
      <c r="C26" s="5" t="s">
        <v>212</v>
      </c>
      <c r="D26" s="37" t="s">
        <v>135</v>
      </c>
      <c r="E26" s="37"/>
      <c r="F26" s="20"/>
      <c r="G26" s="20" t="s">
        <v>182</v>
      </c>
      <c r="I26" s="39" t="b">
        <f>IF(process_type="Continuous", TRUE, FALSE)</f>
        <v>0</v>
      </c>
      <c r="J26" s="39" t="b">
        <f>IF(process_type="Continuous", TRUE, FALSE)</f>
        <v>1</v>
      </c>
      <c r="K26" s="39" t="b">
        <f>IF(process_type="Continuous", TRUE, FALSE)</f>
        <v>0</v>
      </c>
    </row>
    <row r="27" spans="1:11" ht="15.75" x14ac:dyDescent="0.5">
      <c r="C27" s="5" t="s">
        <v>206</v>
      </c>
      <c r="D27" s="36" t="s">
        <v>136</v>
      </c>
      <c r="E27" s="36" t="s">
        <v>137</v>
      </c>
      <c r="F27" s="15"/>
      <c r="G27" s="15"/>
      <c r="I27" s="34"/>
      <c r="J27" s="34">
        <v>20</v>
      </c>
      <c r="K27" s="34"/>
    </row>
    <row r="28" spans="1:11" ht="15.75" x14ac:dyDescent="0.5">
      <c r="D28" s="33"/>
      <c r="E28" s="33"/>
      <c r="F28" s="13"/>
      <c r="G28" s="13"/>
      <c r="I28" s="33"/>
      <c r="J28" s="33"/>
      <c r="K28" s="33"/>
    </row>
    <row r="29" spans="1:11" ht="15.75" x14ac:dyDescent="0.5">
      <c r="A29" t="s">
        <v>219</v>
      </c>
      <c r="D29" s="33"/>
      <c r="E29" s="33"/>
      <c r="F29" s="13"/>
      <c r="G29" s="13"/>
      <c r="I29" s="33"/>
      <c r="J29" s="33"/>
      <c r="K29" s="33"/>
    </row>
    <row r="30" spans="1:11" x14ac:dyDescent="0.45">
      <c r="C30" s="5" t="s">
        <v>212</v>
      </c>
      <c r="D30" s="37" t="s">
        <v>138</v>
      </c>
      <c r="E30" s="37"/>
      <c r="F30" s="20"/>
      <c r="G30" s="20" t="s">
        <v>183</v>
      </c>
      <c r="I30" s="39" t="b">
        <f>IF(process_type="Web", TRUE, FALSE)</f>
        <v>0</v>
      </c>
      <c r="J30" s="39" t="b">
        <f>IF(process_type="Web", TRUE, FALSE)</f>
        <v>0</v>
      </c>
      <c r="K30" s="39" t="b">
        <f>IF(process_type="Web", TRUE, FALSE)</f>
        <v>1</v>
      </c>
    </row>
    <row r="31" spans="1:11" ht="15.75" x14ac:dyDescent="0.5">
      <c r="C31" s="5" t="s">
        <v>201</v>
      </c>
      <c r="D31" s="37" t="s">
        <v>139</v>
      </c>
      <c r="E31" s="37" t="s">
        <v>140</v>
      </c>
      <c r="F31" s="20"/>
      <c r="G31" s="20"/>
      <c r="I31" s="35"/>
      <c r="J31" s="35"/>
      <c r="K31" s="35">
        <v>800</v>
      </c>
    </row>
    <row r="32" spans="1:11" ht="15.75" x14ac:dyDescent="0.5">
      <c r="C32" s="5" t="s">
        <v>202</v>
      </c>
      <c r="D32" s="37" t="s">
        <v>141</v>
      </c>
      <c r="E32" s="37" t="s">
        <v>140</v>
      </c>
      <c r="F32" s="20"/>
      <c r="G32" s="20"/>
      <c r="I32" s="35"/>
      <c r="J32" s="35"/>
      <c r="K32" s="35">
        <v>49</v>
      </c>
    </row>
    <row r="33" spans="1:11" x14ac:dyDescent="0.45">
      <c r="C33" s="5" t="s">
        <v>203</v>
      </c>
      <c r="D33" s="37" t="s">
        <v>142</v>
      </c>
      <c r="E33" s="37"/>
      <c r="F33" s="20"/>
      <c r="G33" s="20" t="s">
        <v>180</v>
      </c>
      <c r="I33" s="39" t="str">
        <f>IF(IsWeb,TRUNC(width_process/width_product,0),"")</f>
        <v/>
      </c>
      <c r="J33" s="39" t="str">
        <f>IF(IsWeb,TRUNC(width_process/width_product,0),"")</f>
        <v/>
      </c>
      <c r="K33" s="39">
        <f>IF(IsWeb,TRUNC(width_process/width_product,0),"")</f>
        <v>16</v>
      </c>
    </row>
    <row r="34" spans="1:11" ht="15.75" x14ac:dyDescent="0.5">
      <c r="C34" s="5" t="s">
        <v>204</v>
      </c>
      <c r="D34" s="37" t="s">
        <v>143</v>
      </c>
      <c r="E34" s="37" t="s">
        <v>144</v>
      </c>
      <c r="F34" s="20"/>
      <c r="G34" s="20"/>
      <c r="I34" s="35"/>
      <c r="J34" s="35"/>
      <c r="K34" s="35">
        <v>150</v>
      </c>
    </row>
    <row r="35" spans="1:11" ht="15.75" x14ac:dyDescent="0.5">
      <c r="C35" s="5" t="s">
        <v>205</v>
      </c>
      <c r="D35" s="37" t="s">
        <v>145</v>
      </c>
      <c r="E35" s="37" t="s">
        <v>146</v>
      </c>
      <c r="F35" s="20"/>
      <c r="G35" s="20"/>
      <c r="I35" s="35"/>
      <c r="J35" s="35"/>
      <c r="K35" s="35">
        <v>50</v>
      </c>
    </row>
    <row r="36" spans="1:11" x14ac:dyDescent="0.45">
      <c r="C36" s="5" t="s">
        <v>206</v>
      </c>
      <c r="D36" s="36" t="s">
        <v>147</v>
      </c>
      <c r="E36" s="36" t="s">
        <v>137</v>
      </c>
      <c r="F36" s="15"/>
      <c r="G36" s="15" t="s">
        <v>181</v>
      </c>
      <c r="I36" s="38" t="str">
        <f>IF(IsWeb, (n_lanes*width_product/mm.m)*speed_web*BasisWt_product/g.kg,"")</f>
        <v/>
      </c>
      <c r="J36" s="38" t="str">
        <f>IF(IsWeb, (n_lanes*width_product/mm.m)*speed_web*BasisWt_product/g.kg,"")</f>
        <v/>
      </c>
      <c r="K36" s="38">
        <f>IF(IsWeb, (n_lanes*width_product/mm.m)*speed_web*BasisWt_product/g.kg,"")</f>
        <v>5.88</v>
      </c>
    </row>
    <row r="37" spans="1:11" x14ac:dyDescent="0.45">
      <c r="F37" s="13"/>
      <c r="G37" s="13"/>
    </row>
    <row r="38" spans="1:11" x14ac:dyDescent="0.45">
      <c r="A38" t="s">
        <v>228</v>
      </c>
      <c r="F38" s="13"/>
      <c r="G38" s="13"/>
    </row>
    <row r="39" spans="1:11" x14ac:dyDescent="0.45">
      <c r="C39" s="5" t="s">
        <v>225</v>
      </c>
      <c r="D39" s="37" t="s">
        <v>226</v>
      </c>
      <c r="E39" s="19"/>
      <c r="F39" s="20"/>
      <c r="G39" s="20"/>
      <c r="I39" s="18" t="s">
        <v>82</v>
      </c>
      <c r="J39" s="18"/>
      <c r="K39" s="18"/>
    </row>
    <row r="40" spans="1:11" x14ac:dyDescent="0.45">
      <c r="C40" s="5" t="s">
        <v>222</v>
      </c>
      <c r="D40" s="36" t="s">
        <v>223</v>
      </c>
      <c r="E40" s="36" t="s">
        <v>224</v>
      </c>
      <c r="F40" s="15" t="s">
        <v>95</v>
      </c>
      <c r="G40" s="15" t="s">
        <v>227</v>
      </c>
      <c r="I40" s="26">
        <f>IFERROR(ROUND(VLOOKUP(name_oper, oper, MATCH("cost_opers.hr_prodn", oper_Header, 0), FALSE),2),"")</f>
        <v>257.14</v>
      </c>
      <c r="J40" s="26" t="str">
        <f>IFERROR(ROUND(VLOOKUP(name_oper, oper, MATCH("cost_opers.hr_prodn", oper_Header, 0), FALSE),2),"")</f>
        <v/>
      </c>
      <c r="K40" s="26" t="str">
        <f>IFERROR(ROUND(VLOOKUP(name_oper, oper, MATCH("cost_opers.hr_prodn", oper_Header, 0), FALSE),2),"")</f>
        <v/>
      </c>
    </row>
  </sheetData>
  <dataValidations count="1">
    <dataValidation type="list" allowBlank="1" showInputMessage="1" showErrorMessage="1" sqref="I16:K16" xr:uid="{05CE0CE7-7B6A-453A-BDED-CE898D1BB2E1}">
      <formula1>list_process_types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50D9E-2AA7-49CB-9F22-2BF65A7D4FD4}">
  <sheetPr codeName="Sheet1"/>
  <dimension ref="A1:E1"/>
  <sheetViews>
    <sheetView showGridLines="0" workbookViewId="0">
      <selection sqref="A1:E1048576"/>
    </sheetView>
  </sheetViews>
  <sheetFormatPr defaultColWidth="9" defaultRowHeight="14.25" x14ac:dyDescent="0.45"/>
  <cols>
    <col min="1" max="5" width="14.86328125" customWidth="1"/>
  </cols>
  <sheetData>
    <row r="1" spans="1:5" s="5" customFormat="1" x14ac:dyDescent="0.45">
      <c r="A1"/>
      <c r="B1"/>
      <c r="C1"/>
      <c r="D1"/>
      <c r="E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D44C9-35A8-4724-8112-9CAD96981491}">
  <sheetPr codeName="Sheet5"/>
  <dimension ref="A1"/>
  <sheetViews>
    <sheetView workbookViewId="0">
      <selection activeCell="D45" sqref="D45"/>
    </sheetView>
  </sheetViews>
  <sheetFormatPr defaultRowHeight="14.25" x14ac:dyDescent="0.4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17C78-4DBA-4A24-947E-3B73164AD098}">
  <sheetPr>
    <outlinePr summaryBelow="0" summaryRight="0"/>
  </sheetPr>
  <dimension ref="A1:O3"/>
  <sheetViews>
    <sheetView showGridLines="0" workbookViewId="0">
      <pane ySplit="1" topLeftCell="A2" activePane="bottomLeft" state="frozenSplit"/>
      <selection pane="bottomLeft" sqref="A1:O3"/>
    </sheetView>
  </sheetViews>
  <sheetFormatPr defaultRowHeight="14.25" outlineLevelCol="1" x14ac:dyDescent="0.45"/>
  <cols>
    <col min="1" max="1" width="30.59765625" style="53" customWidth="1"/>
    <col min="2" max="2" width="12.265625" style="53" customWidth="1"/>
    <col min="3" max="3" width="19.06640625" customWidth="1"/>
    <col min="4" max="4" width="17.265625" customWidth="1"/>
    <col min="5" max="5" width="10.46484375" style="53" customWidth="1"/>
    <col min="6" max="6" width="17.06640625" customWidth="1"/>
    <col min="7" max="7" width="21.1328125" customWidth="1"/>
    <col min="8" max="8" width="21.9296875" customWidth="1" outlineLevel="1"/>
    <col min="9" max="9" width="24.53125" style="53" customWidth="1" outlineLevel="1"/>
    <col min="10" max="10" width="10.265625" style="53" customWidth="1" outlineLevel="1"/>
    <col min="11" max="11" width="12.19921875" style="53" customWidth="1" outlineLevel="1"/>
    <col min="12" max="12" width="15.796875" style="53" customWidth="1" outlineLevel="1"/>
    <col min="13" max="13" width="17.86328125" style="53" customWidth="1"/>
    <col min="14" max="14" width="11.46484375" style="53" customWidth="1" outlineLevel="1"/>
    <col min="15" max="15" width="15.6640625" style="53" customWidth="1"/>
    <col min="16" max="16384" width="9.06640625" style="53"/>
  </cols>
  <sheetData>
    <row r="1" spans="1:15" x14ac:dyDescent="0.45">
      <c r="A1" s="21" t="s">
        <v>8</v>
      </c>
      <c r="B1" s="22" t="s">
        <v>81</v>
      </c>
      <c r="C1" s="16" t="s">
        <v>106</v>
      </c>
      <c r="D1" s="16" t="s">
        <v>108</v>
      </c>
      <c r="E1" s="22" t="s">
        <v>87</v>
      </c>
      <c r="F1" s="16" t="s">
        <v>110</v>
      </c>
      <c r="G1" s="30" t="s">
        <v>105</v>
      </c>
      <c r="H1" s="30" t="s">
        <v>99</v>
      </c>
      <c r="I1" s="31" t="s">
        <v>97</v>
      </c>
      <c r="J1" s="32" t="s">
        <v>101</v>
      </c>
      <c r="K1" s="32" t="s">
        <v>93</v>
      </c>
      <c r="L1" s="32" t="s">
        <v>102</v>
      </c>
      <c r="M1" s="47" t="s">
        <v>111</v>
      </c>
      <c r="N1" s="48" t="s">
        <v>112</v>
      </c>
      <c r="O1" s="21" t="s">
        <v>104</v>
      </c>
    </row>
    <row r="2" spans="1:15" x14ac:dyDescent="0.45">
      <c r="A2" s="1" t="s">
        <v>82</v>
      </c>
      <c r="B2" s="27">
        <v>3</v>
      </c>
      <c r="C2" s="28">
        <f>oper_n_operators*oper_cost.hr_prodn.operator</f>
        <v>257.14285714285711</v>
      </c>
      <c r="D2" s="26">
        <f>ROUND(oper_cost_spv.yr/(oper_oper_linehrs.hr_clocked_in*oper_oper_d.yr*oper_oper_hr.day*oper_operator_spv_ratio), 2)</f>
        <v>13.97</v>
      </c>
      <c r="E2" s="50">
        <v>0.5</v>
      </c>
      <c r="F2" s="52" t="e">
        <f>oper_n_labtech*oper_cost_lab_tech.yr/0</f>
        <v>#DIV/0!</v>
      </c>
      <c r="G2" s="28">
        <f>oper_cost.hr_oper_clocked_in/oper_oper_linehrs.hr_clocked_in</f>
        <v>85.714285714285708</v>
      </c>
      <c r="H2" s="26">
        <f>oper_cost_operator.yr/(oper_oper_d.yr*oper_oper_hr.day)</f>
        <v>75</v>
      </c>
      <c r="I2" s="29">
        <v>0.875</v>
      </c>
      <c r="J2" s="25">
        <v>250</v>
      </c>
      <c r="K2" s="25">
        <v>8</v>
      </c>
      <c r="L2" s="24">
        <v>150000</v>
      </c>
      <c r="M2" s="25">
        <v>9</v>
      </c>
      <c r="N2" s="24">
        <v>220000</v>
      </c>
      <c r="O2" s="24">
        <v>120000</v>
      </c>
    </row>
    <row r="3" spans="1:15" x14ac:dyDescent="0.45">
      <c r="A3" s="1" t="s">
        <v>207</v>
      </c>
      <c r="B3" s="27">
        <v>2</v>
      </c>
      <c r="C3" s="28">
        <f>oper_n_operators*oper_cost.hr_prodn.operator</f>
        <v>171.42857142857142</v>
      </c>
      <c r="D3" s="26">
        <f>ROUND(oper_cost_spv.yr/(oper_oper_linehrs.hr_clocked_in*oper_oper_d.yr*oper_oper_hr.day*oper_operator_spv_ratio), 2)</f>
        <v>13.97</v>
      </c>
      <c r="E3" s="50">
        <v>0.5</v>
      </c>
      <c r="F3" s="52" t="e">
        <f>oper_n_labtech*oper_cost_lab_tech.yr/0</f>
        <v>#DIV/0!</v>
      </c>
      <c r="G3" s="28">
        <f>oper_cost.hr_oper_clocked_in/oper_oper_linehrs.hr_clocked_in</f>
        <v>85.714285714285708</v>
      </c>
      <c r="H3" s="26">
        <f>oper_cost_operator.yr/(oper_oper_d.yr*oper_oper_hr.day)</f>
        <v>75</v>
      </c>
      <c r="I3" s="29">
        <v>0.875</v>
      </c>
      <c r="J3" s="25">
        <v>250</v>
      </c>
      <c r="K3" s="25">
        <v>8</v>
      </c>
      <c r="L3" s="24">
        <v>150000</v>
      </c>
      <c r="M3" s="25">
        <v>9</v>
      </c>
      <c r="N3" s="24">
        <v>220000</v>
      </c>
      <c r="O3" s="24">
        <v>120000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B7611-8A34-4AA0-8508-319AEA4A510A}">
  <sheetPr codeName="Sheet7"/>
  <dimension ref="A1:E5"/>
  <sheetViews>
    <sheetView showGridLines="0" zoomScaleNormal="100" workbookViewId="0"/>
  </sheetViews>
  <sheetFormatPr defaultColWidth="9.1328125" defaultRowHeight="14.25" x14ac:dyDescent="0.45"/>
  <cols>
    <col min="1" max="1" width="16.3984375" customWidth="1"/>
    <col min="2" max="2" width="11.3984375" customWidth="1"/>
    <col min="3" max="3" width="9.59765625" customWidth="1"/>
    <col min="4" max="4" width="9.3984375" style="9" customWidth="1"/>
    <col min="5" max="5" width="16.3984375" style="9" customWidth="1"/>
    <col min="6" max="6" width="6.73046875" customWidth="1"/>
    <col min="7" max="7" width="16.1328125" customWidth="1"/>
  </cols>
  <sheetData>
    <row r="1" spans="1:5" x14ac:dyDescent="0.45">
      <c r="A1" s="7" t="s">
        <v>8</v>
      </c>
      <c r="B1" s="7" t="s">
        <v>9</v>
      </c>
      <c r="C1" s="7" t="s">
        <v>10</v>
      </c>
      <c r="D1" s="8" t="s">
        <v>22</v>
      </c>
      <c r="E1" s="8" t="s">
        <v>59</v>
      </c>
    </row>
    <row r="2" spans="1:5" x14ac:dyDescent="0.45">
      <c r="A2" t="s">
        <v>41</v>
      </c>
      <c r="B2" t="s">
        <v>13</v>
      </c>
      <c r="C2" t="s">
        <v>15</v>
      </c>
      <c r="D2" s="9">
        <v>1.05</v>
      </c>
    </row>
    <row r="3" spans="1:5" x14ac:dyDescent="0.45">
      <c r="A3" t="s">
        <v>12</v>
      </c>
      <c r="B3" t="s">
        <v>14</v>
      </c>
      <c r="C3" t="s">
        <v>15</v>
      </c>
      <c r="D3" s="9">
        <v>0.27</v>
      </c>
    </row>
    <row r="4" spans="1:5" x14ac:dyDescent="0.45">
      <c r="A4" t="s">
        <v>19</v>
      </c>
      <c r="B4" t="s">
        <v>20</v>
      </c>
      <c r="C4" t="s">
        <v>18</v>
      </c>
      <c r="D4" s="9">
        <v>0.1</v>
      </c>
      <c r="E4" s="9">
        <v>20</v>
      </c>
    </row>
    <row r="5" spans="1:5" x14ac:dyDescent="0.45">
      <c r="A5" t="s">
        <v>28</v>
      </c>
      <c r="B5" t="s">
        <v>29</v>
      </c>
      <c r="C5" t="s">
        <v>21</v>
      </c>
      <c r="D5" s="9">
        <v>5.0000000000000001E-3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8E813-87EB-4E48-9A0A-971C4733CA54}">
  <sheetPr codeName="Sheet12"/>
  <dimension ref="A1:A4"/>
  <sheetViews>
    <sheetView workbookViewId="0">
      <selection activeCell="A5" sqref="A5"/>
    </sheetView>
  </sheetViews>
  <sheetFormatPr defaultRowHeight="14.25" x14ac:dyDescent="0.45"/>
  <sheetData>
    <row r="1" spans="1:1" x14ac:dyDescent="0.45">
      <c r="A1" t="s">
        <v>24</v>
      </c>
    </row>
    <row r="2" spans="1:1" x14ac:dyDescent="0.45">
      <c r="A2" t="s">
        <v>25</v>
      </c>
    </row>
    <row r="3" spans="1:1" x14ac:dyDescent="0.45">
      <c r="A3" t="s">
        <v>26</v>
      </c>
    </row>
    <row r="4" spans="1:1" x14ac:dyDescent="0.45">
      <c r="A4" t="s">
        <v>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C2FF6-57FC-4224-AA51-815F2CF0EFA9}">
  <sheetPr codeName="Sheet9"/>
  <dimension ref="A1:I15"/>
  <sheetViews>
    <sheetView zoomScale="120" zoomScaleNormal="120" workbookViewId="0">
      <selection activeCell="D2" sqref="D2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15.46484375" style="5" customWidth="1"/>
    <col min="4" max="4" width="15.265625" customWidth="1"/>
    <col min="5" max="5" width="7.265625" customWidth="1"/>
    <col min="6" max="6" width="12.73046875" customWidth="1" outlineLevel="1"/>
    <col min="7" max="7" width="17.73046875" customWidth="1" outlineLevel="1"/>
    <col min="8" max="8" width="4.59765625" customWidth="1"/>
    <col min="9" max="9" width="10.73046875" customWidth="1"/>
  </cols>
  <sheetData>
    <row r="1" spans="1:9" x14ac:dyDescent="0.45">
      <c r="A1" s="16" t="s">
        <v>66</v>
      </c>
      <c r="B1" s="16" t="s">
        <v>67</v>
      </c>
      <c r="C1" s="17" t="s">
        <v>68</v>
      </c>
      <c r="D1" s="16" t="s">
        <v>69</v>
      </c>
      <c r="E1" s="16" t="s">
        <v>70</v>
      </c>
      <c r="F1" s="16" t="s">
        <v>71</v>
      </c>
      <c r="G1" s="16" t="s">
        <v>72</v>
      </c>
      <c r="I1" s="16" t="s">
        <v>163</v>
      </c>
    </row>
    <row r="2" spans="1:9" x14ac:dyDescent="0.45">
      <c r="B2" t="s">
        <v>165</v>
      </c>
      <c r="C2" s="5" t="s">
        <v>64</v>
      </c>
      <c r="D2" s="14" t="s">
        <v>65</v>
      </c>
      <c r="E2" s="14"/>
      <c r="F2" s="15"/>
      <c r="G2" s="15"/>
      <c r="I2" s="14" t="s">
        <v>80</v>
      </c>
    </row>
    <row r="3" spans="1:9" x14ac:dyDescent="0.45">
      <c r="F3" s="13"/>
      <c r="G3" s="13"/>
    </row>
    <row r="4" spans="1:9" x14ac:dyDescent="0.45">
      <c r="C4" s="5" t="s">
        <v>73</v>
      </c>
      <c r="F4" s="13"/>
      <c r="G4" s="13"/>
    </row>
    <row r="5" spans="1:9" x14ac:dyDescent="0.45">
      <c r="D5" s="19" t="s">
        <v>75</v>
      </c>
      <c r="E5" s="19" t="s">
        <v>75</v>
      </c>
      <c r="F5" s="20"/>
      <c r="G5" s="20"/>
      <c r="I5" s="18">
        <v>60</v>
      </c>
    </row>
    <row r="6" spans="1:9" x14ac:dyDescent="0.45">
      <c r="D6" s="19" t="s">
        <v>74</v>
      </c>
      <c r="E6" s="19" t="s">
        <v>74</v>
      </c>
      <c r="F6" s="20"/>
      <c r="G6" s="20"/>
      <c r="I6" s="18">
        <v>60</v>
      </c>
    </row>
    <row r="7" spans="1:9" x14ac:dyDescent="0.45">
      <c r="D7" s="19" t="s">
        <v>76</v>
      </c>
      <c r="E7" s="19" t="s">
        <v>76</v>
      </c>
      <c r="F7" s="20"/>
      <c r="G7" s="20"/>
      <c r="I7" s="18">
        <v>3600</v>
      </c>
    </row>
    <row r="8" spans="1:9" x14ac:dyDescent="0.45">
      <c r="D8" s="14" t="s">
        <v>148</v>
      </c>
      <c r="E8" s="14" t="s">
        <v>148</v>
      </c>
      <c r="F8" s="15"/>
      <c r="G8" s="15"/>
      <c r="I8" s="1">
        <v>365</v>
      </c>
    </row>
    <row r="9" spans="1:9" x14ac:dyDescent="0.45">
      <c r="F9" s="13"/>
      <c r="G9" s="13"/>
    </row>
    <row r="10" spans="1:9" x14ac:dyDescent="0.45">
      <c r="C10" s="5" t="s">
        <v>77</v>
      </c>
      <c r="F10" s="13"/>
      <c r="G10" s="13"/>
    </row>
    <row r="11" spans="1:9" x14ac:dyDescent="0.45">
      <c r="D11" s="19" t="s">
        <v>78</v>
      </c>
      <c r="E11" s="19" t="s">
        <v>78</v>
      </c>
      <c r="F11" s="20"/>
      <c r="G11" s="20"/>
      <c r="I11" s="18">
        <v>1000</v>
      </c>
    </row>
    <row r="12" spans="1:9" x14ac:dyDescent="0.45">
      <c r="D12" s="14" t="s">
        <v>79</v>
      </c>
      <c r="E12" s="14" t="s">
        <v>79</v>
      </c>
      <c r="F12" s="15"/>
      <c r="G12" s="15"/>
      <c r="I12" s="1">
        <v>0.4536</v>
      </c>
    </row>
    <row r="13" spans="1:9" x14ac:dyDescent="0.45">
      <c r="F13" s="13"/>
      <c r="G13" s="13"/>
    </row>
    <row r="14" spans="1:9" x14ac:dyDescent="0.45">
      <c r="C14" s="5" t="s">
        <v>152</v>
      </c>
      <c r="D14" s="19" t="s">
        <v>153</v>
      </c>
      <c r="E14" s="19" t="s">
        <v>153</v>
      </c>
      <c r="F14" s="20"/>
      <c r="G14" s="20"/>
      <c r="I14" s="18">
        <v>1000</v>
      </c>
    </row>
    <row r="15" spans="1:9" x14ac:dyDescent="0.45">
      <c r="D15" s="14" t="s">
        <v>164</v>
      </c>
      <c r="E15" s="14" t="s">
        <v>164</v>
      </c>
      <c r="F15" s="15"/>
      <c r="G15" s="15"/>
      <c r="I15" s="1">
        <v>25.4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5009-6303-4085-8153-5D82A08D8EC0}">
  <sheetPr codeName="Sheet4"/>
  <dimension ref="A1:J48"/>
  <sheetViews>
    <sheetView topLeftCell="B1" zoomScale="120" zoomScaleNormal="120" workbookViewId="0">
      <pane ySplit="1" topLeftCell="A20" activePane="bottomLeft" state="frozenSplit"/>
      <selection activeCell="B1" sqref="B1"/>
      <selection pane="bottomLeft" activeCell="H23" sqref="H23"/>
    </sheetView>
  </sheetViews>
  <sheetFormatPr defaultColWidth="9" defaultRowHeight="14.25" x14ac:dyDescent="0.45"/>
  <cols>
    <col min="1" max="1" width="10" style="54" bestFit="1" customWidth="1"/>
    <col min="2" max="2" width="21" style="54" bestFit="1" customWidth="1"/>
    <col min="3" max="3" width="13.3984375" style="54" bestFit="1" customWidth="1"/>
    <col min="4" max="4" width="50.73046875" style="55" customWidth="1"/>
    <col min="5" max="5" width="19.1328125" style="54" bestFit="1" customWidth="1"/>
    <col min="6" max="6" width="14.265625" style="54" bestFit="1" customWidth="1"/>
    <col min="7" max="7" width="39.06640625" style="56" customWidth="1"/>
    <col min="8" max="8" width="15.1328125" style="57" bestFit="1" customWidth="1"/>
    <col min="9" max="9" width="6.3984375" style="54" bestFit="1" customWidth="1"/>
    <col min="10" max="16384" width="9" style="53"/>
  </cols>
  <sheetData>
    <row r="1" spans="1:10" x14ac:dyDescent="0.45">
      <c r="A1" s="11" t="s">
        <v>0</v>
      </c>
      <c r="B1" s="11" t="s">
        <v>1</v>
      </c>
      <c r="C1" s="11" t="s">
        <v>2</v>
      </c>
      <c r="D1" s="10" t="s">
        <v>5</v>
      </c>
      <c r="E1" s="11" t="s">
        <v>3</v>
      </c>
      <c r="F1" s="11" t="s">
        <v>4</v>
      </c>
      <c r="G1" s="11" t="s">
        <v>7</v>
      </c>
      <c r="H1" s="10" t="s">
        <v>6</v>
      </c>
      <c r="I1" s="11" t="s">
        <v>32</v>
      </c>
    </row>
    <row r="2" spans="1:10" x14ac:dyDescent="0.45">
      <c r="A2" s="2" t="s">
        <v>16</v>
      </c>
      <c r="B2" s="2" t="s">
        <v>22</v>
      </c>
      <c r="C2" s="2" t="s">
        <v>46</v>
      </c>
      <c r="D2" s="4" t="s">
        <v>33</v>
      </c>
      <c r="E2" s="2"/>
      <c r="F2" s="2"/>
      <c r="G2" s="12"/>
      <c r="H2" s="6" t="s">
        <v>47</v>
      </c>
      <c r="I2" s="2"/>
    </row>
    <row r="3" spans="1:10" ht="24" x14ac:dyDescent="0.45">
      <c r="A3" s="2" t="s">
        <v>16</v>
      </c>
      <c r="B3" s="2" t="s">
        <v>60</v>
      </c>
      <c r="C3" s="2" t="s">
        <v>31</v>
      </c>
      <c r="D3" s="4" t="s">
        <v>30</v>
      </c>
      <c r="E3" s="2" t="s">
        <v>22</v>
      </c>
      <c r="F3" s="2" t="b">
        <v>1</v>
      </c>
      <c r="G3" s="12"/>
      <c r="H3" s="6"/>
      <c r="I3" s="2"/>
      <c r="J3" s="54"/>
    </row>
    <row r="4" spans="1:10" x14ac:dyDescent="0.45">
      <c r="A4" s="2" t="s">
        <v>16</v>
      </c>
      <c r="B4" s="2" t="s">
        <v>10</v>
      </c>
      <c r="C4" s="2" t="s">
        <v>34</v>
      </c>
      <c r="D4" s="4" t="s">
        <v>17</v>
      </c>
      <c r="E4" s="2"/>
      <c r="F4" s="2"/>
      <c r="G4" s="12"/>
      <c r="H4" s="6"/>
      <c r="I4" s="2"/>
      <c r="J4" s="54"/>
    </row>
    <row r="5" spans="1:10" ht="24" x14ac:dyDescent="0.45">
      <c r="A5" s="2" t="s">
        <v>16</v>
      </c>
      <c r="B5" s="2" t="s">
        <v>11</v>
      </c>
      <c r="C5" s="2" t="s">
        <v>31</v>
      </c>
      <c r="D5" s="4" t="s">
        <v>61</v>
      </c>
      <c r="E5" s="2" t="s">
        <v>60</v>
      </c>
      <c r="F5" s="2" t="b">
        <v>1</v>
      </c>
      <c r="G5" s="12"/>
      <c r="H5" s="6"/>
      <c r="I5" s="2"/>
      <c r="J5" s="54"/>
    </row>
    <row r="6" spans="1:10" x14ac:dyDescent="0.45">
      <c r="A6" s="2" t="s">
        <v>16</v>
      </c>
      <c r="B6" s="2" t="s">
        <v>62</v>
      </c>
      <c r="C6" s="2" t="s">
        <v>31</v>
      </c>
      <c r="D6" s="4" t="s">
        <v>23</v>
      </c>
      <c r="E6" s="2" t="s">
        <v>59</v>
      </c>
      <c r="F6" s="2" t="b">
        <v>1</v>
      </c>
      <c r="G6" s="12"/>
      <c r="H6" s="6"/>
      <c r="I6" s="2"/>
      <c r="J6" s="54"/>
    </row>
    <row r="7" spans="1:10" x14ac:dyDescent="0.45">
      <c r="A7" s="2" t="s">
        <v>16</v>
      </c>
      <c r="B7" s="2" t="s">
        <v>11</v>
      </c>
      <c r="C7" s="2" t="s">
        <v>35</v>
      </c>
      <c r="D7" s="4" t="s">
        <v>33</v>
      </c>
      <c r="E7" s="2" t="s">
        <v>62</v>
      </c>
      <c r="F7" s="2"/>
      <c r="G7" s="12"/>
      <c r="H7" s="6"/>
      <c r="I7" s="2"/>
      <c r="J7" s="54"/>
    </row>
    <row r="8" spans="1:10" x14ac:dyDescent="0.45">
      <c r="A8" s="2"/>
      <c r="B8" s="2"/>
      <c r="C8" s="2"/>
      <c r="D8" s="4" t="s">
        <v>33</v>
      </c>
      <c r="E8" s="2"/>
      <c r="F8" s="2"/>
      <c r="G8" s="12"/>
      <c r="H8" s="6"/>
      <c r="I8" s="2"/>
      <c r="J8" s="54"/>
    </row>
    <row r="9" spans="1:10" x14ac:dyDescent="0.45">
      <c r="A9" s="2" t="s">
        <v>42</v>
      </c>
      <c r="B9" s="2" t="s">
        <v>48</v>
      </c>
      <c r="C9" s="2" t="s">
        <v>31</v>
      </c>
      <c r="D9" s="4" t="s">
        <v>58</v>
      </c>
      <c r="E9" s="2" t="s">
        <v>63</v>
      </c>
      <c r="F9" s="2" t="b">
        <v>1</v>
      </c>
      <c r="G9" s="12"/>
      <c r="H9" s="6" t="s">
        <v>47</v>
      </c>
      <c r="I9" s="2"/>
      <c r="J9" s="54"/>
    </row>
    <row r="10" spans="1:10" x14ac:dyDescent="0.45">
      <c r="A10" s="2" t="s">
        <v>42</v>
      </c>
      <c r="B10" s="2" t="s">
        <v>37</v>
      </c>
      <c r="C10" s="2" t="s">
        <v>46</v>
      </c>
      <c r="D10" s="4" t="s">
        <v>33</v>
      </c>
      <c r="E10" s="2"/>
      <c r="F10" s="2"/>
      <c r="G10" s="12"/>
      <c r="H10" s="6" t="s">
        <v>49</v>
      </c>
      <c r="I10" s="2"/>
      <c r="J10" s="54"/>
    </row>
    <row r="11" spans="1:10" ht="24" x14ac:dyDescent="0.45">
      <c r="A11" s="2" t="s">
        <v>42</v>
      </c>
      <c r="B11" s="2" t="s">
        <v>38</v>
      </c>
      <c r="C11" s="2" t="s">
        <v>31</v>
      </c>
      <c r="D11" s="4" t="s">
        <v>43</v>
      </c>
      <c r="E11" s="2" t="s">
        <v>37</v>
      </c>
      <c r="F11" s="2" t="b">
        <v>1</v>
      </c>
      <c r="G11" s="12"/>
      <c r="H11" s="6"/>
      <c r="I11" s="2"/>
      <c r="J11" s="54"/>
    </row>
    <row r="12" spans="1:10" ht="24" x14ac:dyDescent="0.45">
      <c r="A12" s="2" t="s">
        <v>42</v>
      </c>
      <c r="B12" s="2" t="s">
        <v>39</v>
      </c>
      <c r="C12" s="2" t="s">
        <v>31</v>
      </c>
      <c r="D12" s="4" t="s">
        <v>44</v>
      </c>
      <c r="E12" s="2" t="s">
        <v>38</v>
      </c>
      <c r="F12" s="2" t="b">
        <v>1</v>
      </c>
      <c r="G12" s="12"/>
      <c r="H12" s="6" t="s">
        <v>47</v>
      </c>
      <c r="I12" s="2"/>
      <c r="J12" s="54"/>
    </row>
    <row r="13" spans="1:10" x14ac:dyDescent="0.45">
      <c r="A13" s="2" t="s">
        <v>42</v>
      </c>
      <c r="B13" s="2" t="s">
        <v>40</v>
      </c>
      <c r="C13" s="2" t="s">
        <v>31</v>
      </c>
      <c r="D13" s="4" t="s">
        <v>45</v>
      </c>
      <c r="E13" s="2" t="s">
        <v>39</v>
      </c>
      <c r="F13" s="2" t="b">
        <v>1</v>
      </c>
      <c r="G13" s="12"/>
      <c r="H13" s="6" t="s">
        <v>47</v>
      </c>
      <c r="I13" s="2"/>
      <c r="J13" s="54"/>
    </row>
    <row r="14" spans="1:10" x14ac:dyDescent="0.45">
      <c r="A14" s="2" t="s">
        <v>42</v>
      </c>
      <c r="B14" s="2" t="s">
        <v>36</v>
      </c>
      <c r="C14" s="2" t="s">
        <v>35</v>
      </c>
      <c r="D14" s="4" t="s">
        <v>33</v>
      </c>
      <c r="E14" s="2" t="s">
        <v>40</v>
      </c>
      <c r="F14" s="2"/>
      <c r="G14" s="12"/>
      <c r="H14" s="6"/>
      <c r="I14" s="2"/>
    </row>
    <row r="15" spans="1:10" x14ac:dyDescent="0.45">
      <c r="A15" s="2" t="s">
        <v>42</v>
      </c>
      <c r="B15" s="2" t="s">
        <v>51</v>
      </c>
      <c r="C15" s="2" t="s">
        <v>46</v>
      </c>
      <c r="D15" s="4" t="s">
        <v>33</v>
      </c>
      <c r="E15" s="2"/>
      <c r="F15" s="2"/>
      <c r="G15" s="12"/>
      <c r="H15" s="6" t="s">
        <v>49</v>
      </c>
      <c r="I15" s="2"/>
      <c r="J15" s="54"/>
    </row>
    <row r="16" spans="1:10" ht="24" x14ac:dyDescent="0.45">
      <c r="A16" s="2" t="s">
        <v>42</v>
      </c>
      <c r="B16" s="2" t="s">
        <v>52</v>
      </c>
      <c r="C16" s="2" t="s">
        <v>31</v>
      </c>
      <c r="D16" s="4" t="s">
        <v>55</v>
      </c>
      <c r="E16" s="2" t="s">
        <v>51</v>
      </c>
      <c r="F16" s="2" t="b">
        <v>1</v>
      </c>
      <c r="G16" s="12"/>
      <c r="H16" s="6"/>
      <c r="I16" s="2"/>
      <c r="J16" s="54"/>
    </row>
    <row r="17" spans="1:10" ht="24" x14ac:dyDescent="0.45">
      <c r="A17" s="2" t="s">
        <v>42</v>
      </c>
      <c r="B17" s="2" t="s">
        <v>53</v>
      </c>
      <c r="C17" s="2" t="s">
        <v>31</v>
      </c>
      <c r="D17" s="4" t="s">
        <v>56</v>
      </c>
      <c r="E17" s="2" t="s">
        <v>52</v>
      </c>
      <c r="F17" s="2" t="b">
        <v>1</v>
      </c>
      <c r="G17" s="12"/>
      <c r="H17" s="6" t="s">
        <v>47</v>
      </c>
      <c r="I17" s="2"/>
      <c r="J17" s="54"/>
    </row>
    <row r="18" spans="1:10" x14ac:dyDescent="0.45">
      <c r="A18" s="2" t="s">
        <v>42</v>
      </c>
      <c r="B18" s="2" t="s">
        <v>54</v>
      </c>
      <c r="C18" s="2" t="s">
        <v>31</v>
      </c>
      <c r="D18" s="4" t="s">
        <v>57</v>
      </c>
      <c r="E18" s="2" t="s">
        <v>53</v>
      </c>
      <c r="F18" s="2" t="b">
        <v>1</v>
      </c>
      <c r="G18" s="12"/>
      <c r="H18" s="6" t="s">
        <v>47</v>
      </c>
      <c r="I18" s="2"/>
      <c r="J18" s="54"/>
    </row>
    <row r="19" spans="1:10" x14ac:dyDescent="0.45">
      <c r="A19" s="2" t="s">
        <v>42</v>
      </c>
      <c r="B19" s="2" t="s">
        <v>50</v>
      </c>
      <c r="C19" s="2" t="s">
        <v>35</v>
      </c>
      <c r="D19" s="4" t="s">
        <v>33</v>
      </c>
      <c r="E19" s="2" t="s">
        <v>54</v>
      </c>
      <c r="F19" s="2"/>
      <c r="G19" s="12"/>
      <c r="H19" s="6"/>
      <c r="I19" s="2"/>
    </row>
    <row r="20" spans="1:10" x14ac:dyDescent="0.45">
      <c r="A20" s="2"/>
      <c r="B20" s="2"/>
      <c r="C20" s="2"/>
      <c r="D20" s="4" t="s">
        <v>33</v>
      </c>
      <c r="E20" s="2"/>
      <c r="F20" s="2"/>
      <c r="G20" s="12"/>
      <c r="H20" s="6"/>
      <c r="I20" s="2"/>
    </row>
    <row r="21" spans="1:10" x14ac:dyDescent="0.45">
      <c r="A21" s="2"/>
      <c r="B21" s="2"/>
      <c r="C21" s="2"/>
      <c r="D21" s="4" t="s">
        <v>33</v>
      </c>
      <c r="E21" s="2"/>
      <c r="F21" s="2"/>
      <c r="G21" s="12"/>
      <c r="H21" s="6"/>
      <c r="I21" s="2"/>
    </row>
    <row r="22" spans="1:10" x14ac:dyDescent="0.45">
      <c r="A22" s="2" t="s">
        <v>184</v>
      </c>
      <c r="B22" s="23" t="s">
        <v>81</v>
      </c>
      <c r="C22" s="2" t="s">
        <v>83</v>
      </c>
      <c r="D22" s="4" t="s">
        <v>33</v>
      </c>
      <c r="E22" s="2"/>
      <c r="F22" s="2"/>
      <c r="G22" s="4" t="s">
        <v>86</v>
      </c>
      <c r="H22" s="6" t="s">
        <v>85</v>
      </c>
      <c r="I22" s="2"/>
    </row>
    <row r="23" spans="1:10" x14ac:dyDescent="0.45">
      <c r="A23" s="2" t="s">
        <v>184</v>
      </c>
      <c r="B23" s="2" t="s">
        <v>106</v>
      </c>
      <c r="C23" s="2" t="s">
        <v>31</v>
      </c>
      <c r="D23" s="4" t="s">
        <v>185</v>
      </c>
      <c r="E23" s="2" t="s">
        <v>81</v>
      </c>
      <c r="F23" s="2" t="b">
        <v>1</v>
      </c>
      <c r="G23" s="12" t="s">
        <v>100</v>
      </c>
      <c r="H23" s="6" t="s">
        <v>95</v>
      </c>
      <c r="I23" s="2"/>
    </row>
    <row r="24" spans="1:10" ht="24" x14ac:dyDescent="0.45">
      <c r="A24" s="2" t="s">
        <v>184</v>
      </c>
      <c r="B24" s="2" t="s">
        <v>108</v>
      </c>
      <c r="C24" s="2" t="s">
        <v>31</v>
      </c>
      <c r="D24" s="4" t="s">
        <v>188</v>
      </c>
      <c r="E24" s="2" t="s">
        <v>106</v>
      </c>
      <c r="F24" s="2" t="b">
        <v>1</v>
      </c>
      <c r="G24" s="12" t="s">
        <v>109</v>
      </c>
      <c r="H24" s="6" t="s">
        <v>95</v>
      </c>
      <c r="I24" s="2"/>
    </row>
    <row r="25" spans="1:10" x14ac:dyDescent="0.45">
      <c r="A25" s="2" t="s">
        <v>184</v>
      </c>
      <c r="B25" s="2" t="s">
        <v>87</v>
      </c>
      <c r="C25" s="2" t="s">
        <v>83</v>
      </c>
      <c r="D25" s="4" t="s">
        <v>33</v>
      </c>
      <c r="E25" s="2"/>
      <c r="F25" s="2"/>
      <c r="G25" s="4" t="s">
        <v>88</v>
      </c>
      <c r="H25" s="6" t="s">
        <v>85</v>
      </c>
      <c r="I25" s="2"/>
    </row>
    <row r="26" spans="1:10" x14ac:dyDescent="0.45">
      <c r="A26" s="2" t="s">
        <v>184</v>
      </c>
      <c r="B26" s="2" t="s">
        <v>110</v>
      </c>
      <c r="C26" s="2" t="s">
        <v>31</v>
      </c>
      <c r="D26" s="4" t="s">
        <v>209</v>
      </c>
      <c r="E26" s="2" t="s">
        <v>87</v>
      </c>
      <c r="F26" s="2" t="b">
        <v>1</v>
      </c>
      <c r="G26" s="12" t="s">
        <v>187</v>
      </c>
      <c r="H26" s="6"/>
      <c r="I26" s="2"/>
    </row>
    <row r="27" spans="1:10" x14ac:dyDescent="0.45">
      <c r="A27" s="2"/>
      <c r="B27" s="2"/>
      <c r="C27" s="2"/>
      <c r="D27" s="4" t="s">
        <v>33</v>
      </c>
      <c r="E27" s="2"/>
      <c r="F27" s="2"/>
      <c r="G27" s="12"/>
      <c r="H27" s="6"/>
      <c r="I27" s="2"/>
    </row>
    <row r="28" spans="1:10" x14ac:dyDescent="0.45">
      <c r="A28" s="2"/>
      <c r="B28" s="2"/>
      <c r="C28" s="2"/>
      <c r="D28" s="4" t="s">
        <v>33</v>
      </c>
      <c r="E28" s="2"/>
      <c r="F28" s="2"/>
      <c r="G28" s="4"/>
      <c r="H28" s="6"/>
      <c r="I28" s="2"/>
    </row>
    <row r="29" spans="1:10" x14ac:dyDescent="0.45">
      <c r="A29" s="2" t="s">
        <v>184</v>
      </c>
      <c r="B29" s="2" t="s">
        <v>105</v>
      </c>
      <c r="C29" s="2" t="s">
        <v>31</v>
      </c>
      <c r="D29" s="4" t="s">
        <v>186</v>
      </c>
      <c r="E29" s="2" t="s">
        <v>110</v>
      </c>
      <c r="F29" s="2" t="b">
        <v>1</v>
      </c>
      <c r="G29" s="12" t="s">
        <v>107</v>
      </c>
      <c r="H29" s="6" t="s">
        <v>95</v>
      </c>
      <c r="I29" s="2"/>
    </row>
    <row r="30" spans="1:10" x14ac:dyDescent="0.45">
      <c r="A30" s="2" t="s">
        <v>184</v>
      </c>
      <c r="B30" s="2" t="s">
        <v>99</v>
      </c>
      <c r="C30" s="2" t="s">
        <v>31</v>
      </c>
      <c r="D30" s="4" t="s">
        <v>208</v>
      </c>
      <c r="E30" s="2" t="s">
        <v>105</v>
      </c>
      <c r="F30" s="2" t="b">
        <v>1</v>
      </c>
      <c r="G30" s="12" t="s">
        <v>94</v>
      </c>
      <c r="H30" s="6" t="s">
        <v>95</v>
      </c>
      <c r="I30" s="2"/>
    </row>
    <row r="31" spans="1:10" ht="24" x14ac:dyDescent="0.45">
      <c r="A31" s="2" t="s">
        <v>184</v>
      </c>
      <c r="B31" s="2" t="s">
        <v>97</v>
      </c>
      <c r="C31" s="2" t="s">
        <v>83</v>
      </c>
      <c r="D31" s="4" t="s">
        <v>33</v>
      </c>
      <c r="E31" s="2"/>
      <c r="F31" s="2"/>
      <c r="G31" s="4" t="s">
        <v>98</v>
      </c>
      <c r="H31" s="6" t="s">
        <v>96</v>
      </c>
      <c r="I31" s="2"/>
    </row>
    <row r="32" spans="1:10" x14ac:dyDescent="0.45">
      <c r="A32" s="2" t="s">
        <v>184</v>
      </c>
      <c r="B32" s="2" t="s">
        <v>101</v>
      </c>
      <c r="C32" s="2" t="s">
        <v>83</v>
      </c>
      <c r="D32" s="4" t="s">
        <v>33</v>
      </c>
      <c r="E32" s="2"/>
      <c r="F32" s="2"/>
      <c r="G32" s="4" t="s">
        <v>92</v>
      </c>
      <c r="H32" s="6" t="s">
        <v>85</v>
      </c>
      <c r="I32" s="2"/>
    </row>
    <row r="33" spans="1:9" x14ac:dyDescent="0.45">
      <c r="A33" s="2" t="s">
        <v>184</v>
      </c>
      <c r="B33" s="2" t="s">
        <v>93</v>
      </c>
      <c r="C33" s="2" t="s">
        <v>83</v>
      </c>
      <c r="D33" s="4" t="s">
        <v>33</v>
      </c>
      <c r="E33" s="2"/>
      <c r="F33" s="2"/>
      <c r="G33" s="4" t="s">
        <v>92</v>
      </c>
      <c r="H33" s="6" t="s">
        <v>85</v>
      </c>
      <c r="I33" s="2"/>
    </row>
    <row r="34" spans="1:9" x14ac:dyDescent="0.45">
      <c r="A34" s="2" t="s">
        <v>184</v>
      </c>
      <c r="B34" s="2" t="s">
        <v>102</v>
      </c>
      <c r="C34" s="2" t="s">
        <v>83</v>
      </c>
      <c r="D34" s="4" t="s">
        <v>33</v>
      </c>
      <c r="E34" s="2"/>
      <c r="F34" s="2"/>
      <c r="G34" s="4" t="s">
        <v>89</v>
      </c>
      <c r="H34" s="6" t="s">
        <v>84</v>
      </c>
      <c r="I34" s="2"/>
    </row>
    <row r="35" spans="1:9" x14ac:dyDescent="0.45">
      <c r="A35" s="2"/>
      <c r="B35" s="2"/>
      <c r="C35" s="2"/>
      <c r="D35" s="4" t="s">
        <v>33</v>
      </c>
      <c r="E35" s="2"/>
      <c r="F35" s="2"/>
      <c r="G35" s="12"/>
      <c r="H35" s="6"/>
      <c r="I35" s="2"/>
    </row>
    <row r="36" spans="1:9" x14ac:dyDescent="0.45">
      <c r="A36" s="2" t="s">
        <v>184</v>
      </c>
      <c r="B36" s="2" t="s">
        <v>111</v>
      </c>
      <c r="C36" s="2" t="s">
        <v>83</v>
      </c>
      <c r="D36" s="4" t="s">
        <v>33</v>
      </c>
      <c r="E36" s="2"/>
      <c r="F36" s="2"/>
      <c r="G36" s="4" t="s">
        <v>33</v>
      </c>
      <c r="H36" s="6" t="s">
        <v>85</v>
      </c>
      <c r="I36" s="2"/>
    </row>
    <row r="37" spans="1:9" x14ac:dyDescent="0.45">
      <c r="A37" s="2" t="s">
        <v>184</v>
      </c>
      <c r="B37" s="2" t="s">
        <v>112</v>
      </c>
      <c r="C37" s="2" t="s">
        <v>83</v>
      </c>
      <c r="D37" s="4" t="s">
        <v>33</v>
      </c>
      <c r="E37" s="2"/>
      <c r="F37" s="2"/>
      <c r="G37" s="4" t="s">
        <v>90</v>
      </c>
      <c r="H37" s="6" t="s">
        <v>84</v>
      </c>
      <c r="I37" s="2"/>
    </row>
    <row r="38" spans="1:9" x14ac:dyDescent="0.45">
      <c r="A38" s="2"/>
      <c r="B38" s="2"/>
      <c r="C38" s="2"/>
      <c r="D38" s="4" t="s">
        <v>33</v>
      </c>
      <c r="E38" s="2"/>
      <c r="F38" s="2"/>
      <c r="G38" s="4"/>
      <c r="H38" s="6"/>
      <c r="I38" s="2"/>
    </row>
    <row r="39" spans="1:9" x14ac:dyDescent="0.45">
      <c r="A39" s="2" t="s">
        <v>184</v>
      </c>
      <c r="B39" s="2" t="s">
        <v>104</v>
      </c>
      <c r="C39" s="2" t="s">
        <v>83</v>
      </c>
      <c r="D39" s="4" t="s">
        <v>33</v>
      </c>
      <c r="E39" s="2"/>
      <c r="F39" s="2"/>
      <c r="G39" s="4" t="s">
        <v>91</v>
      </c>
      <c r="H39" s="6" t="s">
        <v>84</v>
      </c>
      <c r="I39" s="2"/>
    </row>
    <row r="40" spans="1:9" x14ac:dyDescent="0.45">
      <c r="A40" s="2"/>
      <c r="B40" s="2"/>
      <c r="C40" s="2"/>
      <c r="D40" s="4" t="s">
        <v>33</v>
      </c>
      <c r="E40" s="2"/>
      <c r="F40" s="2"/>
      <c r="G40" s="12"/>
      <c r="H40" s="6"/>
      <c r="I40" s="2"/>
    </row>
    <row r="41" spans="1:9" x14ac:dyDescent="0.45">
      <c r="A41" s="2" t="s">
        <v>184</v>
      </c>
      <c r="B41" s="2"/>
      <c r="C41" s="2" t="s">
        <v>103</v>
      </c>
      <c r="D41" s="4" t="s">
        <v>33</v>
      </c>
      <c r="E41" s="2"/>
      <c r="F41" s="2"/>
      <c r="G41" s="12"/>
      <c r="H41" s="6"/>
      <c r="I41" s="2"/>
    </row>
    <row r="42" spans="1:9" x14ac:dyDescent="0.45">
      <c r="A42" s="2" t="s">
        <v>184</v>
      </c>
      <c r="B42" s="2" t="s">
        <v>105</v>
      </c>
      <c r="C42" s="2" t="s">
        <v>35</v>
      </c>
      <c r="D42" s="4" t="s">
        <v>33</v>
      </c>
      <c r="E42" s="2" t="s">
        <v>102</v>
      </c>
      <c r="F42" s="2"/>
      <c r="G42" s="12"/>
      <c r="H42" s="6"/>
      <c r="I42" s="2"/>
    </row>
    <row r="43" spans="1:9" x14ac:dyDescent="0.45">
      <c r="A43" s="2" t="s">
        <v>184</v>
      </c>
      <c r="B43" s="2" t="s">
        <v>111</v>
      </c>
      <c r="C43" s="2" t="s">
        <v>35</v>
      </c>
      <c r="D43" s="4" t="s">
        <v>33</v>
      </c>
      <c r="E43" s="2" t="s">
        <v>112</v>
      </c>
      <c r="F43" s="2"/>
      <c r="G43" s="12"/>
      <c r="H43" s="6"/>
      <c r="I43" s="2"/>
    </row>
    <row r="44" spans="1:9" x14ac:dyDescent="0.45">
      <c r="A44" s="2"/>
      <c r="B44" s="2"/>
      <c r="C44" s="2"/>
      <c r="D44" s="4" t="s">
        <v>33</v>
      </c>
      <c r="E44" s="2"/>
      <c r="F44" s="2"/>
      <c r="G44" s="12"/>
      <c r="H44" s="6"/>
      <c r="I44" s="2"/>
    </row>
    <row r="45" spans="1:9" x14ac:dyDescent="0.45">
      <c r="A45" s="2"/>
      <c r="B45" s="2"/>
      <c r="C45" s="2"/>
      <c r="D45" s="4" t="s">
        <v>33</v>
      </c>
      <c r="E45" s="2"/>
      <c r="F45" s="2"/>
      <c r="G45" s="12"/>
      <c r="H45" s="6"/>
      <c r="I45" s="2"/>
    </row>
    <row r="46" spans="1:9" x14ac:dyDescent="0.45">
      <c r="A46" s="2"/>
      <c r="B46" s="2"/>
      <c r="C46" s="2"/>
      <c r="D46" s="4" t="s">
        <v>33</v>
      </c>
      <c r="E46" s="2"/>
      <c r="F46" s="2"/>
      <c r="G46" s="12"/>
      <c r="H46" s="6"/>
      <c r="I46" s="2"/>
    </row>
    <row r="47" spans="1:9" x14ac:dyDescent="0.45">
      <c r="A47" s="2"/>
      <c r="B47" s="2"/>
      <c r="C47" s="2"/>
      <c r="D47" s="4" t="s">
        <v>33</v>
      </c>
      <c r="E47" s="2"/>
      <c r="F47" s="2"/>
      <c r="G47" s="12"/>
      <c r="H47" s="6"/>
      <c r="I47" s="2"/>
    </row>
    <row r="48" spans="1:9" x14ac:dyDescent="0.45">
      <c r="A48" s="2"/>
      <c r="B48" s="2"/>
      <c r="C48" s="2"/>
      <c r="D48" s="4" t="s">
        <v>33</v>
      </c>
      <c r="E48" s="2"/>
      <c r="F48" s="2"/>
      <c r="G48" s="12"/>
      <c r="H48" s="6"/>
      <c r="I48" s="2"/>
    </row>
  </sheetData>
  <dataValidations count="1">
    <dataValidation type="list" allowBlank="1" showInputMessage="1" showErrorMessage="1" sqref="C2:C48" xr:uid="{531E5AD3-D1A3-4F69-B29C-C2028B1F0D28}">
      <formula1>"Col_Format,Col_Insert,Col_Delete,Col_AddGroup,Col_CondFormat,Col_Dropdown,Tbl_FreezeRow1,Tbl_Sort,Tbl_SplitCols"</formula1>
    </dataValidation>
  </dataValidations>
  <pageMargins left="0.7" right="0.7" top="0.75" bottom="0.75" header="0.3" footer="0.3"/>
  <pageSetup orientation="portrait" r:id="rId1"/>
  <ignoredErrors>
    <ignoredError sqref="H10 H15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5DA1E-A2BC-433F-9B19-82535A74D67B}">
  <sheetPr codeName="Sheet2"/>
  <dimension ref="A1:A5"/>
  <sheetViews>
    <sheetView zoomScaleNormal="100" workbookViewId="0">
      <selection activeCell="A13" sqref="A13"/>
    </sheetView>
  </sheetViews>
  <sheetFormatPr defaultRowHeight="14.25" x14ac:dyDescent="0.45"/>
  <cols>
    <col min="1" max="1" width="15.59765625" bestFit="1" customWidth="1"/>
    <col min="2" max="2" width="7.73046875" bestFit="1" customWidth="1"/>
    <col min="3" max="3" width="15.86328125" bestFit="1" customWidth="1"/>
    <col min="4" max="4" width="18.265625" bestFit="1" customWidth="1"/>
  </cols>
  <sheetData>
    <row r="1" spans="1:1" x14ac:dyDescent="0.45">
      <c r="A1" s="3" t="s">
        <v>160</v>
      </c>
    </row>
    <row r="2" spans="1:1" x14ac:dyDescent="0.45">
      <c r="A2" t="s">
        <v>161</v>
      </c>
    </row>
    <row r="3" spans="1:1" x14ac:dyDescent="0.45">
      <c r="A3" t="s">
        <v>162</v>
      </c>
    </row>
    <row r="4" spans="1:1" x14ac:dyDescent="0.45">
      <c r="A4" t="s">
        <v>18</v>
      </c>
    </row>
    <row r="5" spans="1:1" x14ac:dyDescent="0.45">
      <c r="A5" t="s">
        <v>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5242B-64AF-42BB-BE5A-E22C691781C8}">
  <sheetPr codeName="Sheet6"/>
  <dimension ref="A1:G8"/>
  <sheetViews>
    <sheetView zoomScaleNormal="100" workbookViewId="0"/>
  </sheetViews>
  <sheetFormatPr defaultRowHeight="14.25" x14ac:dyDescent="0.45"/>
  <sheetData>
    <row r="1" spans="1:7" x14ac:dyDescent="0.45">
      <c r="A1" t="s">
        <v>166</v>
      </c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172</v>
      </c>
    </row>
    <row r="2" spans="1:7" x14ac:dyDescent="0.45">
      <c r="A2" t="s">
        <v>173</v>
      </c>
      <c r="B2" t="s">
        <v>189</v>
      </c>
      <c r="C2" t="b">
        <v>0</v>
      </c>
      <c r="D2" t="b">
        <v>0</v>
      </c>
      <c r="E2" t="b">
        <v>0</v>
      </c>
      <c r="F2" t="b">
        <v>0</v>
      </c>
      <c r="G2" t="b">
        <v>0</v>
      </c>
    </row>
    <row r="3" spans="1:7" x14ac:dyDescent="0.45">
      <c r="A3" t="s">
        <v>173</v>
      </c>
      <c r="B3" t="s">
        <v>174</v>
      </c>
      <c r="C3" t="b">
        <v>0</v>
      </c>
      <c r="D3" t="b">
        <v>0</v>
      </c>
      <c r="E3" t="b">
        <v>0</v>
      </c>
      <c r="F3" t="b">
        <v>0</v>
      </c>
      <c r="G3" t="b">
        <v>0</v>
      </c>
    </row>
    <row r="4" spans="1:7" x14ac:dyDescent="0.45">
      <c r="A4" t="s">
        <v>173</v>
      </c>
      <c r="B4" t="s">
        <v>70</v>
      </c>
      <c r="C4" t="b">
        <v>0</v>
      </c>
      <c r="D4" t="b">
        <v>0</v>
      </c>
      <c r="E4" t="b">
        <v>1</v>
      </c>
      <c r="F4" t="b">
        <v>1</v>
      </c>
      <c r="G4" t="b">
        <v>0</v>
      </c>
    </row>
    <row r="5" spans="1:7" x14ac:dyDescent="0.45">
      <c r="A5" t="s">
        <v>173</v>
      </c>
      <c r="B5" t="s">
        <v>184</v>
      </c>
      <c r="C5" t="b">
        <v>1</v>
      </c>
      <c r="D5" t="b">
        <v>1</v>
      </c>
      <c r="E5" t="b">
        <v>0</v>
      </c>
      <c r="F5" t="b">
        <v>0</v>
      </c>
      <c r="G5" t="b">
        <v>1</v>
      </c>
    </row>
    <row r="6" spans="1:7" x14ac:dyDescent="0.45">
      <c r="A6" t="s">
        <v>173</v>
      </c>
      <c r="B6" t="s">
        <v>190</v>
      </c>
      <c r="C6" t="b">
        <v>0</v>
      </c>
      <c r="D6" t="b">
        <v>0</v>
      </c>
      <c r="E6" t="b">
        <v>0</v>
      </c>
      <c r="F6" t="b">
        <v>0</v>
      </c>
      <c r="G6" t="b">
        <v>0</v>
      </c>
    </row>
    <row r="7" spans="1:7" x14ac:dyDescent="0.45">
      <c r="A7" t="s">
        <v>173</v>
      </c>
      <c r="B7" t="s">
        <v>191</v>
      </c>
      <c r="C7" t="b">
        <v>0</v>
      </c>
      <c r="D7" t="b">
        <v>0</v>
      </c>
      <c r="E7" t="b">
        <v>0</v>
      </c>
      <c r="F7" t="b">
        <v>0</v>
      </c>
      <c r="G7" t="b">
        <v>0</v>
      </c>
    </row>
    <row r="8" spans="1:7" x14ac:dyDescent="0.45">
      <c r="A8" t="s">
        <v>173</v>
      </c>
      <c r="B8" t="s">
        <v>229</v>
      </c>
      <c r="C8" t="b">
        <v>0</v>
      </c>
      <c r="D8" t="b">
        <v>0</v>
      </c>
      <c r="E8" t="b">
        <v>1</v>
      </c>
      <c r="F8" t="b">
        <v>0</v>
      </c>
      <c r="G8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56</vt:i4>
      </vt:variant>
    </vt:vector>
  </HeadingPairs>
  <TitlesOfParts>
    <vt:vector size="66" baseType="lpstr">
      <vt:lpstr>Model</vt:lpstr>
      <vt:lpstr>mixes</vt:lpstr>
      <vt:lpstr>finan</vt:lpstr>
      <vt:lpstr>oper</vt:lpstr>
      <vt:lpstr>ingred</vt:lpstr>
      <vt:lpstr>Notes</vt:lpstr>
      <vt:lpstr>Units</vt:lpstr>
      <vt:lpstr>ExcelSteps</vt:lpstr>
      <vt:lpstr>Lists</vt:lpstr>
      <vt:lpstr>XLStepsSettings</vt:lpstr>
      <vt:lpstr>BasisWt_product</vt:lpstr>
      <vt:lpstr>Batch_Process</vt:lpstr>
      <vt:lpstr>batches.year.line</vt:lpstr>
      <vt:lpstr>Continuous_Process</vt:lpstr>
      <vt:lpstr>cost_crew.hr_prodn</vt:lpstr>
      <vt:lpstr>days.yr</vt:lpstr>
      <vt:lpstr>frac_availability</vt:lpstr>
      <vt:lpstr>frac_prodn_scheduled</vt:lpstr>
      <vt:lpstr>frac_scrap</vt:lpstr>
      <vt:lpstr>g.kg</vt:lpstr>
      <vt:lpstr>hrs.day_available</vt:lpstr>
      <vt:lpstr>hrs.day_line</vt:lpstr>
      <vt:lpstr>hrs.year_available</vt:lpstr>
      <vt:lpstr>IsBatch</vt:lpstr>
      <vt:lpstr>IsContinuous</vt:lpstr>
      <vt:lpstr>IsWeb</vt:lpstr>
      <vt:lpstr>kg.lb</vt:lpstr>
      <vt:lpstr>kg.min_continuous</vt:lpstr>
      <vt:lpstr>kg.min_web</vt:lpstr>
      <vt:lpstr>kg.yr.line</vt:lpstr>
      <vt:lpstr>kg.yr_business</vt:lpstr>
      <vt:lpstr>Lines_Required</vt:lpstr>
      <vt:lpstr>list_process_types</vt:lpstr>
      <vt:lpstr>min.hr</vt:lpstr>
      <vt:lpstr>mm.in</vt:lpstr>
      <vt:lpstr>mm.m</vt:lpstr>
      <vt:lpstr>n_lanes</vt:lpstr>
      <vt:lpstr>name_oper</vt:lpstr>
      <vt:lpstr>oper</vt:lpstr>
      <vt:lpstr>oper_cost.hr_oper_clocked_in</vt:lpstr>
      <vt:lpstr>oper_cost.hr_prodn.operator</vt:lpstr>
      <vt:lpstr>oper_cost_lab.hr_prodn</vt:lpstr>
      <vt:lpstr>oper_cost_lab_tech.yr</vt:lpstr>
      <vt:lpstr>oper_cost_operator.yr</vt:lpstr>
      <vt:lpstr>oper_cost_opers.hr_prodn</vt:lpstr>
      <vt:lpstr>oper_cost_spv.hr_prodn</vt:lpstr>
      <vt:lpstr>oper_cost_spv.yr</vt:lpstr>
      <vt:lpstr>oper_Header</vt:lpstr>
      <vt:lpstr>oper_n_labtech</vt:lpstr>
      <vt:lpstr>oper_n_operators</vt:lpstr>
      <vt:lpstr>oper_Name</vt:lpstr>
      <vt:lpstr>oper_oper_d.yr</vt:lpstr>
      <vt:lpstr>oper_oper_hr.day</vt:lpstr>
      <vt:lpstr>oper_oper_linehrs.hr_clocked_in</vt:lpstr>
      <vt:lpstr>oper_operator_spv_ratio</vt:lpstr>
      <vt:lpstr>process_type</vt:lpstr>
      <vt:lpstr>s.hr</vt:lpstr>
      <vt:lpstr>s.min</vt:lpstr>
      <vt:lpstr>Scenario</vt:lpstr>
      <vt:lpstr>speed_web</vt:lpstr>
      <vt:lpstr>Time_batch</vt:lpstr>
      <vt:lpstr>Units</vt:lpstr>
      <vt:lpstr>WebProcess</vt:lpstr>
      <vt:lpstr>width_process</vt:lpstr>
      <vt:lpstr>width_product</vt:lpstr>
      <vt:lpstr>Wt_batch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jdlandgrebe</dc:creator>
  <cp:lastModifiedBy>j.d.landgrebe</cp:lastModifiedBy>
  <dcterms:created xsi:type="dcterms:W3CDTF">2019-10-01T13:10:33Z</dcterms:created>
  <dcterms:modified xsi:type="dcterms:W3CDTF">2022-09-08T14:07:41Z</dcterms:modified>
</cp:coreProperties>
</file>